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10_System" sheetId="2" state="visible" r:id="rId2"/>
    <sheet xmlns:r="http://schemas.openxmlformats.org/officeDocument/2006/relationships" name="11_Boot_Sequence" sheetId="3" state="visible" r:id="rId3"/>
    <sheet xmlns:r="http://schemas.openxmlformats.org/officeDocument/2006/relationships" name="12_Frame_Loop" sheetId="4" state="visible" r:id="rId4"/>
    <sheet xmlns:r="http://schemas.openxmlformats.org/officeDocument/2006/relationships" name="20_Subsystems" sheetId="5" state="visible" r:id="rId5"/>
    <sheet xmlns:r="http://schemas.openxmlformats.org/officeDocument/2006/relationships" name="30_Modules" sheetId="6" state="visible" r:id="rId6"/>
    <sheet xmlns:r="http://schemas.openxmlformats.org/officeDocument/2006/relationships" name="40_Connections" sheetId="7" state="visible" r:id="rId7"/>
    <sheet xmlns:r="http://schemas.openxmlformats.org/officeDocument/2006/relationships" name="41_Globals" sheetId="8" state="visible" r:id="rId8"/>
    <sheet xmlns:r="http://schemas.openxmlformats.org/officeDocument/2006/relationships" name="42_Events" sheetId="9" state="visible" r:id="rId9"/>
    <sheet xmlns:r="http://schemas.openxmlformats.org/officeDocument/2006/relationships" name="43_Services" sheetId="10" state="visible" r:id="rId10"/>
    <sheet xmlns:r="http://schemas.openxmlformats.org/officeDocument/2006/relationships" name="44_Limbo_Calls" sheetId="11" state="visible" r:id="rId11"/>
    <sheet xmlns:r="http://schemas.openxmlformats.org/officeDocument/2006/relationships" name="50_Findings" sheetId="12" state="visible" r:id="rId12"/>
    <sheet xmlns:r="http://schemas.openxmlformats.org/officeDocument/2006/relationships" name="51_Assets" sheetId="13" state="visible" r:id="rId13"/>
    <sheet xmlns:r="http://schemas.openxmlformats.org/officeDocument/2006/relationships" name="52_Claims_vs_Verified" sheetId="14" state="visible" r:id="rId14"/>
    <sheet xmlns:r="http://schemas.openxmlformats.org/officeDocument/2006/relationships" name="60_Plan" sheetId="15" state="visible" r:id="rId15"/>
    <sheet xmlns:r="http://schemas.openxmlformats.org/officeDocument/2006/relationships" name="61_Decision_Log" sheetId="16" state="visible" r:id="rId16"/>
    <sheet xmlns:r="http://schemas.openxmlformats.org/officeDocument/2006/relationships" name="62_Review_Playbook" sheetId="17" state="visible" r:id="rId17"/>
    <sheet xmlns:r="http://schemas.openxmlformats.org/officeDocument/2006/relationships" name="63_Attempts_Ledger" sheetId="18" state="visible" r:id="rId18"/>
    <sheet xmlns:r="http://schemas.openxmlformats.org/officeDocument/2006/relationships" name="70_Session_Log" sheetId="19" state="visible" r:id="rId19"/>
    <sheet xmlns:r="http://schemas.openxmlformats.org/officeDocument/2006/relationships" name="90_Glossary" sheetId="20" state="visible" r:id="rId20"/>
  </sheets>
  <definedNames>
    <definedName name="_xlnm._FilterDatabase" localSheetId="2" hidden="1">'11_Boot_Sequence'!$A$4:$G$48</definedName>
    <definedName name="_xlnm._FilterDatabase" localSheetId="3" hidden="1">'12_Frame_Loop'!$A$4:$F$17</definedName>
    <definedName name="_xlnm._FilterDatabase" localSheetId="4" hidden="1">'20_Subsystems'!$A$4:$J$20</definedName>
    <definedName name="_xlnm._FilterDatabase" localSheetId="5" hidden="1">'30_Modules'!$A$4:$X$111</definedName>
    <definedName name="_xlnm._FilterDatabase" localSheetId="6" hidden="1">'40_Connections'!$A$4:$G$485</definedName>
    <definedName name="_xlnm._FilterDatabase" localSheetId="7" hidden="1">'41_Globals'!$A$4:$G$113</definedName>
    <definedName name="_xlnm._FilterDatabase" localSheetId="8" hidden="1">'42_Events'!$A$4:$F$29</definedName>
    <definedName name="_xlnm._FilterDatabase" localSheetId="9" hidden="1">'43_Services'!$A$4:$E$9</definedName>
    <definedName name="_xlnm._FilterDatabase" localSheetId="10" hidden="1">'44_Limbo_Calls'!$A$4:$G$205</definedName>
    <definedName name="_xlnm._FilterDatabase" localSheetId="11" hidden="1">'50_Findings'!$A$4:$L$48</definedName>
    <definedName name="_xlnm._FilterDatabase" localSheetId="12" hidden="1">'51_Assets'!$A$4:$W$20</definedName>
    <definedName name="_xlnm._FilterDatabase" localSheetId="13" hidden="1">'52_Claims_vs_Verified'!$A$4:$F$27</definedName>
    <definedName name="_xlnm._FilterDatabase" localSheetId="14" hidden="1">'60_Plan'!$A$4:$H$25</definedName>
    <definedName name="_xlnm._FilterDatabase" localSheetId="15" hidden="1">'61_Decision_Log'!$A$4:$E$22</definedName>
    <definedName name="_xlnm._FilterDatabase" localSheetId="16" hidden="1">'62_Review_Playbook'!$A$4:$F$21</definedName>
    <definedName name="_xlnm._FilterDatabase" localSheetId="17" hidden="1">'63_Attempts_Ledger'!$A$4:$I$34</definedName>
    <definedName name="_xlnm._FilterDatabase" localSheetId="18" hidden="1">'70_Session_Log'!$A$4:$E$17</definedName>
    <definedName name="_xlnm._FilterDatabase" localSheetId="19" hidden="1">'90_Glossary'!$A$4:$B$17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3E2C23"/>
      <sz val="14"/>
    </font>
    <font>
      <name val="Arial"/>
      <i val="1"/>
      <color rgb="00666666"/>
      <sz val="10"/>
    </font>
    <font>
      <name val="Arial"/>
      <b val="1"/>
      <color rgb="00FFFFFF"/>
      <sz val="10"/>
    </font>
    <font>
      <name val="Arial"/>
      <sz val="10"/>
    </font>
    <font>
      <name val="Arial"/>
      <b val="1"/>
      <sz val="10"/>
    </font>
    <font>
      <name val="Arial"/>
      <b val="1"/>
      <color rgb="003E2C23"/>
      <sz val="16"/>
    </font>
    <font>
      <name val="Arial"/>
      <color rgb="000B5394"/>
      <sz val="10"/>
      <u val="single"/>
    </font>
  </fonts>
  <fills count="7">
    <fill>
      <patternFill/>
    </fill>
    <fill>
      <patternFill patternType="gray125"/>
    </fill>
    <fill>
      <patternFill patternType="solid">
        <fgColor rgb="003E2C23"/>
      </patternFill>
    </fill>
    <fill>
      <patternFill patternType="solid">
        <fgColor rgb="00F4CCCC"/>
      </patternFill>
    </fill>
    <fill>
      <patternFill patternType="solid">
        <fgColor rgb="00FCE5CD"/>
      </patternFill>
    </fill>
    <fill>
      <patternFill patternType="solid">
        <fgColor rgb="00FFF2CC"/>
      </patternFill>
    </fill>
    <fill>
      <patternFill patternType="solid">
        <fgColor rgb="00E8F0E3"/>
      </patternFill>
    </fill>
  </fills>
  <borders count="2">
    <border>
      <left/>
      <right/>
      <top/>
      <bottom/>
      <diagonal/>
    </border>
    <border>
      <bottom style="thin">
        <color rgb="00D9D2C9"/>
      </bottom>
    </border>
  </borders>
  <cellStyleXfs count="1">
    <xf numFmtId="0" fontId="0" fillId="0" borderId="0"/>
  </cellStyleXfs>
  <cellXfs count="19">
    <xf numFmtId="0" fontId="0" fillId="0" borderId="0" pivotButton="0" quotePrefix="0" xfId="0"/>
    <xf numFmtId="0" fontId="6" fillId="0" borderId="0" pivotButton="0" quotePrefix="0" xfId="0"/>
    <xf numFmtId="0" fontId="2" fillId="0" borderId="0" applyAlignment="1" pivotButton="0" quotePrefix="0" xfId="0">
      <alignment vertical="top" wrapText="1"/>
    </xf>
    <xf numFmtId="0" fontId="3" fillId="2" borderId="0" pivotButton="0" quotePrefix="0" xfId="0"/>
    <xf numFmtId="0" fontId="7" fillId="0" borderId="0" pivotButton="0" quotePrefix="0" xfId="0"/>
    <xf numFmtId="0" fontId="4" fillId="0" borderId="1" applyAlignment="1" pivotButton="0" quotePrefix="0" xfId="0">
      <alignment vertical="top" wrapText="1"/>
    </xf>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1" fillId="0" borderId="0" pivotButton="0" quotePrefix="0" xfId="0"/>
    <xf numFmtId="0" fontId="2" fillId="0" borderId="0" pivotButton="0" quotePrefix="0" xfId="0"/>
    <xf numFmtId="3" fontId="4" fillId="0" borderId="1"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3" fontId="5" fillId="0" borderId="0" pivotButton="0" quotePrefix="0" xfId="0"/>
    <xf numFmtId="164"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Claude</author>
  </authors>
  <commentList>
    <comment ref="F22" authorId="0" shapeId="0">
      <text>
        <t>Sum of measured triangles × instances placed at boot. Instances come from code constants cited in column 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_System'!A1" TargetMode="External" Id="rId1"/><Relationship Type="http://schemas.openxmlformats.org/officeDocument/2006/relationships/hyperlink" Target="#'11_Boot_Sequence'!A1" TargetMode="External" Id="rId2"/><Relationship Type="http://schemas.openxmlformats.org/officeDocument/2006/relationships/hyperlink" Target="#'12_Frame_Loop'!A1" TargetMode="External" Id="rId3"/><Relationship Type="http://schemas.openxmlformats.org/officeDocument/2006/relationships/hyperlink" Target="#'20_Subsystems'!A1" TargetMode="External" Id="rId4"/><Relationship Type="http://schemas.openxmlformats.org/officeDocument/2006/relationships/hyperlink" Target="#'30_Modules'!A1" TargetMode="External" Id="rId5"/><Relationship Type="http://schemas.openxmlformats.org/officeDocument/2006/relationships/hyperlink" Target="#'40_Connections'!A1" TargetMode="External" Id="rId6"/><Relationship Type="http://schemas.openxmlformats.org/officeDocument/2006/relationships/hyperlink" Target="#'41_Globals'!A1" TargetMode="External" Id="rId7"/><Relationship Type="http://schemas.openxmlformats.org/officeDocument/2006/relationships/hyperlink" Target="#'42_Events'!A1" TargetMode="External" Id="rId8"/><Relationship Type="http://schemas.openxmlformats.org/officeDocument/2006/relationships/hyperlink" Target="#'43_Services'!A1" TargetMode="External" Id="rId9"/><Relationship Type="http://schemas.openxmlformats.org/officeDocument/2006/relationships/hyperlink" Target="#'44_Limbo_Calls'!A1" TargetMode="External" Id="rId10"/><Relationship Type="http://schemas.openxmlformats.org/officeDocument/2006/relationships/hyperlink" Target="#'50_Findings'!A1" TargetMode="External" Id="rId11"/><Relationship Type="http://schemas.openxmlformats.org/officeDocument/2006/relationships/hyperlink" Target="#'51_Assets'!A1" TargetMode="External" Id="rId12"/><Relationship Type="http://schemas.openxmlformats.org/officeDocument/2006/relationships/hyperlink" Target="#'52_Claims_vs_Verified'!A1" TargetMode="External" Id="rId13"/><Relationship Type="http://schemas.openxmlformats.org/officeDocument/2006/relationships/hyperlink" Target="#'60_Plan'!A1" TargetMode="External" Id="rId14"/><Relationship Type="http://schemas.openxmlformats.org/officeDocument/2006/relationships/hyperlink" Target="#'61_Decision_Log'!A1" TargetMode="External" Id="rId15"/><Relationship Type="http://schemas.openxmlformats.org/officeDocument/2006/relationships/hyperlink" Target="#'62_Review_Playbook'!A1" TargetMode="External" Id="rId16"/><Relationship Type="http://schemas.openxmlformats.org/officeDocument/2006/relationships/hyperlink" Target="#'63_Attempts_Ledger'!A1" TargetMode="External" Id="rId17"/><Relationship Type="http://schemas.openxmlformats.org/officeDocument/2006/relationships/hyperlink" Target="#'70_Session_Log'!A1" TargetMode="External" Id="rId18"/><Relationship Type="http://schemas.openxmlformats.org/officeDocument/2006/relationships/hyperlink" Target="#'90_Glossary'!A1" TargetMode="External" Id="rId19"/></Relationships>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24" customWidth="1" min="1" max="1"/>
    <col width="14" customWidth="1" min="2" max="2"/>
    <col width="62" customWidth="1" min="3" max="3"/>
    <col width="40" customWidth="1" min="4" max="4"/>
    <col width="8" customWidth="1" min="5" max="5"/>
  </cols>
  <sheetData>
    <row r="1">
      <c r="A1" s="1" t="inlineStr">
        <is>
          <t>Sacred Adventures — Decision Engine</t>
        </is>
      </c>
    </row>
    <row r="2" ht="42" customHeight="1">
      <c r="A2" s="2" t="inlineStr">
        <is>
          <t>Layered map of the live system for AI and humans. Read top-down: each level is more exact than the last. Built 2026-10-22 at commit e22e24d. Zero-trust: 'Assumed' = comments/docs, 'Verified' = measured.</t>
        </is>
      </c>
    </row>
    <row r="4">
      <c r="A4" s="3" t="inlineStr">
        <is>
          <t>Sheet</t>
        </is>
      </c>
      <c r="B4" s="3" t="inlineStr">
        <is>
          <t>Level</t>
        </is>
      </c>
      <c r="C4" s="3" t="inlineStr">
        <is>
          <t>What it holds</t>
        </is>
      </c>
      <c r="D4" s="3" t="inlineStr">
        <is>
          <t>Read it when</t>
        </is>
      </c>
      <c r="E4" s="3" t="inlineStr">
        <is>
          <t>Rows</t>
        </is>
      </c>
    </row>
    <row r="5">
      <c r="A5" s="4" t="inlineStr">
        <is>
          <t>10_System</t>
        </is>
      </c>
      <c r="B5" s="5" t="inlineStr">
        <is>
          <t>L1 System</t>
        </is>
      </c>
      <c r="C5" s="5" t="inlineStr">
        <is>
          <t>Headline facts about the whole system, computed from the deeper sheets.</t>
        </is>
      </c>
      <c r="D5" s="5" t="inlineStr">
        <is>
          <t>Start of every session; after a rebuild.</t>
        </is>
      </c>
      <c r="E5" s="6" t="inlineStr">
        <is>
          <t>—</t>
        </is>
      </c>
    </row>
    <row r="6">
      <c r="A6" s="4" t="inlineStr">
        <is>
          <t>11_Boot_Sequence</t>
        </is>
      </c>
      <c r="B6" s="5" t="inlineStr">
        <is>
          <t>L1 System</t>
        </is>
      </c>
      <c r="C6" s="5" t="inlineStr">
        <is>
          <t>Exact module activation order from index.html.</t>
        </is>
      </c>
      <c r="D6" s="5" t="inlineStr">
        <is>
          <t>Adding, removing or reordering modules.</t>
        </is>
      </c>
      <c r="E6" s="6">
        <f>COUNTA('11_Boot_Sequence'!A5:A2000)</f>
        <v/>
      </c>
    </row>
    <row r="7">
      <c r="A7" s="4" t="inlineStr">
        <is>
          <t>12_Frame_Loop</t>
        </is>
      </c>
      <c r="B7" s="5" t="inlineStr">
        <is>
          <t>L1 System</t>
        </is>
      </c>
      <c r="C7" s="5" t="inlineStr">
        <is>
          <t>What runs inside one RAF frame, in order, with cadence and cost class.</t>
        </is>
      </c>
      <c r="D7" s="5" t="inlineStr">
        <is>
          <t>Any FPS or stutter problem.</t>
        </is>
      </c>
      <c r="E7" s="6">
        <f>COUNTA('12_Frame_Loop'!A5:A2000)</f>
        <v/>
      </c>
    </row>
    <row r="8">
      <c r="A8" s="4" t="inlineStr">
        <is>
          <t>20_Subsystems</t>
        </is>
      </c>
      <c r="B8" s="5" t="inlineStr">
        <is>
          <t>L2 Subsystems</t>
        </is>
      </c>
      <c r="C8" s="5" t="inlineStr">
        <is>
          <t>Each subsystem: assumed role vs verified reality, size, members, findings, plan.</t>
        </is>
      </c>
      <c r="D8" s="5" t="inlineStr">
        <is>
          <t>Choosing where a change belongs.</t>
        </is>
      </c>
      <c r="E8" s="6">
        <f>COUNTA('20_Subsystems'!A5:A2000)</f>
        <v/>
      </c>
    </row>
    <row r="9">
      <c r="A9" s="4" t="inlineStr">
        <is>
          <t>30_Modules</t>
        </is>
      </c>
      <c r="B9" s="5" t="inlineStr">
        <is>
          <t>L3 Modules</t>
        </is>
      </c>
      <c r="C9" s="5" t="inlineStr">
        <is>
          <t>Every JS file: status, assumed vs verified behaviour, and all connections.</t>
        </is>
      </c>
      <c r="D9" s="5" t="inlineStr">
        <is>
          <t>Before editing any file.</t>
        </is>
      </c>
      <c r="E9" s="6">
        <f>COUNTA('30_Modules'!A5:A2000)</f>
        <v/>
      </c>
    </row>
    <row r="10">
      <c r="A10" s="4" t="inlineStr">
        <is>
          <t>40_Connections</t>
        </is>
      </c>
      <c r="B10" s="5" t="inlineStr">
        <is>
          <t>L4 Contracts</t>
        </is>
      </c>
      <c r="C10" s="5" t="inlineStr">
        <is>
          <t>Every edge: imports, globals, ANU events, services, assets, postMessage.</t>
        </is>
      </c>
      <c r="D10" s="5" t="inlineStr">
        <is>
          <t>Tracing what a change will touch.</t>
        </is>
      </c>
      <c r="E10" s="6">
        <f>COUNTA('40_Connections'!A5:A2000)</f>
        <v/>
      </c>
    </row>
    <row r="11">
      <c r="A11" s="4" t="inlineStr">
        <is>
          <t>41_Globals</t>
        </is>
      </c>
      <c r="B11" s="5" t="inlineStr">
        <is>
          <t>L4 Contracts</t>
        </is>
      </c>
      <c r="C11" s="5" t="inlineStr">
        <is>
          <t>window.* names written/read by live code — the de-facto integration layer.</t>
        </is>
      </c>
      <c r="D11" s="5" t="inlineStr">
        <is>
          <t>A value changes unexpectedly.</t>
        </is>
      </c>
      <c r="E11" s="6">
        <f>COUNTA('41_Globals'!A5:A2000)</f>
        <v/>
      </c>
    </row>
    <row r="12">
      <c r="A12" s="4" t="inlineStr">
        <is>
          <t>42_Events</t>
        </is>
      </c>
      <c r="B12" s="5" t="inlineStr">
        <is>
          <t>L4 Contracts</t>
        </is>
      </c>
      <c r="C12" s="5" t="inlineStr">
        <is>
          <t>ANU_EVENTS vocabulary: who dispatches, who subscribes.</t>
        </is>
      </c>
      <c r="D12" s="5" t="inlineStr">
        <is>
          <t>Wiring behaviour through ANU.</t>
        </is>
      </c>
      <c r="E12" s="6">
        <f>COUNTA('42_Events'!A5:A2000)</f>
        <v/>
      </c>
    </row>
    <row r="13">
      <c r="A13" s="4" t="inlineStr">
        <is>
          <t>43_Services</t>
        </is>
      </c>
      <c r="B13" s="5" t="inlineStr">
        <is>
          <t>L4 Contracts</t>
        </is>
      </c>
      <c r="C13" s="5" t="inlineStr">
        <is>
          <t>RuntimeServices registry: registrations and consumers.</t>
        </is>
      </c>
      <c r="D13" s="5" t="inlineStr">
        <is>
          <t>Adding a cross-module dependency.</t>
        </is>
      </c>
      <c r="E13" s="6">
        <f>COUNTA('43_Services'!A5:A2000)</f>
        <v/>
      </c>
    </row>
    <row r="14">
      <c r="A14" s="4" t="inlineStr">
        <is>
          <t>44_Limbo_Calls</t>
        </is>
      </c>
      <c r="B14" s="5" t="inlineStr">
        <is>
          <t>L4 Contracts</t>
        </is>
      </c>
      <c r="C14" s="5" t="inlineStr">
        <is>
          <t>Every message, event, service, window function and DOM id sent by live code, matched to a receiver.</t>
        </is>
      </c>
      <c r="D14" s="5" t="inlineStr">
        <is>
          <t>A call or message seems to do nothing.</t>
        </is>
      </c>
      <c r="E14" s="6">
        <f>COUNTA('44_Limbo_Calls'!A5:A2000)</f>
        <v/>
      </c>
    </row>
    <row r="15">
      <c r="A15" s="4" t="inlineStr">
        <is>
          <t>50_Findings</t>
        </is>
      </c>
      <c r="B15" s="5" t="inlineStr">
        <is>
          <t>L5 Evidence</t>
        </is>
      </c>
      <c r="C15" s="5" t="inlineStr">
        <is>
          <t>Forensic findings: assumed vs verified, file:line evidence, fix, plan link.</t>
        </is>
      </c>
      <c r="D15" s="5" t="inlineStr">
        <is>
          <t>Prioritising work; proving a claim.</t>
        </is>
      </c>
      <c r="E15" s="6">
        <f>COUNTA('50_Findings'!A5:A2000)</f>
        <v/>
      </c>
    </row>
    <row r="16">
      <c r="A16" s="4" t="inlineStr">
        <is>
          <t>51_Assets</t>
        </is>
      </c>
      <c r="B16" s="5" t="inlineStr">
        <is>
          <t>L5 Evidence</t>
        </is>
      </c>
      <c r="C16" s="5" t="inlineStr">
        <is>
          <t>Measured geometry and textures of every live 3D asset, boot totals, and lite variants.</t>
        </is>
      </c>
      <c r="D16" s="5" t="inlineStr">
        <is>
          <t>Any GPU memory or triangle question.</t>
        </is>
      </c>
      <c r="E16" s="6">
        <f>COUNTA('51_Assets'!A5:A2000)</f>
        <v/>
      </c>
    </row>
    <row r="17">
      <c r="A17" s="4" t="inlineStr">
        <is>
          <t>52_Claims_vs_Verified</t>
        </is>
      </c>
      <c r="B17" s="5" t="inlineStr">
        <is>
          <t>L5 Evidence</t>
        </is>
      </c>
      <c r="C17" s="5" t="inlineStr">
        <is>
          <t>Statements in docs/comments checked against the code.</t>
        </is>
      </c>
      <c r="D17" s="5" t="inlineStr">
        <is>
          <t>Before trusting any comment or doc.</t>
        </is>
      </c>
      <c r="E17" s="6">
        <f>COUNTA('52_Claims_vs_Verified'!A5:A2000)</f>
        <v/>
      </c>
    </row>
    <row r="18">
      <c r="A18" s="4" t="inlineStr">
        <is>
          <t>60_Plan</t>
        </is>
      </c>
      <c r="B18" s="5" t="inlineStr">
        <is>
          <t>L6 Plan</t>
        </is>
      </c>
      <c r="C18" s="5" t="inlineStr">
        <is>
          <t>Ordered optimisation plan tied to findings and files, with acceptance tests and status.</t>
        </is>
      </c>
      <c r="D18" s="5" t="inlineStr">
        <is>
          <t>Deciding the next step; updating progress.</t>
        </is>
      </c>
      <c r="E18" s="6">
        <f>COUNTA('60_Plan'!A5:A2000)</f>
        <v/>
      </c>
    </row>
    <row r="19">
      <c r="A19" s="4" t="inlineStr">
        <is>
          <t>61_Decision_Log</t>
        </is>
      </c>
      <c r="B19" s="5" t="inlineStr">
        <is>
          <t>L6 Plan</t>
        </is>
      </c>
      <c r="C19" s="5" t="inlineStr">
        <is>
          <t>Why each choice was made, the evidence, and how it was verified.</t>
        </is>
      </c>
      <c r="D19" s="5" t="inlineStr">
        <is>
          <t>Repeating an error; revisiting a choice.</t>
        </is>
      </c>
      <c r="E19" s="6">
        <f>COUNTA('61_Decision_Log'!A5:A2000)</f>
        <v/>
      </c>
    </row>
    <row r="20">
      <c r="A20" s="4" t="inlineStr">
        <is>
          <t>62_Review_Playbook</t>
        </is>
      </c>
      <c r="B20" s="5" t="inlineStr">
        <is>
          <t>L6 Plan</t>
        </is>
      </c>
      <c r="C20" s="5" t="inlineStr">
        <is>
          <t>Symptom → where to cut in → mechanical check → last result.</t>
        </is>
      </c>
      <c r="D20" s="5" t="inlineStr">
        <is>
          <t>A known symptom reappears.</t>
        </is>
      </c>
      <c r="E20" s="6">
        <f>COUNTA('62_Review_Playbook'!A5:A2000)</f>
        <v/>
      </c>
    </row>
    <row r="21">
      <c r="A21" s="4" t="inlineStr">
        <is>
          <t>63_Attempts_Ledger</t>
        </is>
      </c>
      <c r="B21" s="5" t="inlineStr">
        <is>
          <t>L6 Plan</t>
        </is>
      </c>
      <c r="C21" s="5" t="inlineStr">
        <is>
          <t>What was tried, by whom, the result, and whether it must not be retried.</t>
        </is>
      </c>
      <c r="D21" s="5" t="inlineStr">
        <is>
          <t>Before trying a fix — check it has not already failed.</t>
        </is>
      </c>
      <c r="E21" s="6">
        <f>COUNTA('63_Attempts_Ledger'!A5:A2000)</f>
        <v/>
      </c>
    </row>
    <row r="22">
      <c r="A22" s="4" t="inlineStr">
        <is>
          <t>70_Session_Log</t>
        </is>
      </c>
      <c r="B22" s="5" t="inlineStr">
        <is>
          <t>L7 Session</t>
        </is>
      </c>
      <c r="C22" s="5" t="inlineStr">
        <is>
          <t>What was done, in order, and the next step.</t>
        </is>
      </c>
      <c r="D22" s="5" t="inlineStr">
        <is>
          <t>Resuming work.</t>
        </is>
      </c>
      <c r="E22" s="6">
        <f>COUNTA('70_Session_Log'!A5:A2000)</f>
        <v/>
      </c>
    </row>
    <row r="23">
      <c r="A23" s="4" t="inlineStr">
        <is>
          <t>90_Glossary</t>
        </is>
      </c>
      <c r="B23" s="5" t="inlineStr">
        <is>
          <t>Reference</t>
        </is>
      </c>
      <c r="C23" s="5" t="inlineStr">
        <is>
          <t>Terms used across the workbook.</t>
        </is>
      </c>
      <c r="D23" s="5" t="inlineStr">
        <is>
          <t>An unfamiliar term.</t>
        </is>
      </c>
      <c r="E23" s="6">
        <f>COUNTA('90_Glossary'!A5:A2000)</f>
        <v/>
      </c>
    </row>
    <row r="25" ht="30" customHeight="1">
      <c r="A25" s="7" t="inlineStr">
        <is>
          <t>ID scheme</t>
        </is>
      </c>
      <c r="B25" s="8" t="inlineStr">
        <is>
          <t>SUB- subsystem · MOD- file · AST- asset · EDG- edge · GLB- global · EVT- event · SVC- service · LMB- limbo call · FND- finding · CLM- claim · PLN- plan · DEC- decision · RVW- review · ATT- attempt · LOG- session.</t>
        </is>
      </c>
    </row>
    <row r="26" ht="30" customHeight="1">
      <c r="A26" s="7" t="inlineStr">
        <is>
          <t>How to navigate</t>
        </is>
      </c>
      <c r="B26" s="8" t="inlineStr">
        <is>
          <t>Problem → 62_Review_Playbook (symptom) → 50_Findings (evidence) → 30_Modules (file + connections) → 40_Connections (blast radius) → 60_Plan.</t>
        </is>
      </c>
    </row>
    <row r="27" ht="30" customHeight="1">
      <c r="A27" s="7" t="inlineStr">
        <is>
          <t>Update protocol</t>
        </is>
      </c>
      <c r="B27" s="8" t="inlineStr">
        <is>
          <t>Before a fix: check 63_Attempts_Ledger. After any code change: rerun tools/decision-engine/rebuild.sh, search for 'NOT FOUND', update 60_Plan, append to 63_Attempts_Ledger and 70_Session_Log.</t>
        </is>
      </c>
    </row>
    <row r="28" ht="30" customHeight="1">
      <c r="A28" s="7" t="inlineStr">
        <is>
          <t>Repo rules that bind edits</t>
        </is>
      </c>
      <c r="B28" s="8" t="inlineStr">
        <is>
          <t>Scope lock (name files + reason before editing) · never obscure #pipCanvas / PiP without explicit approval · no destructive git.</t>
        </is>
      </c>
    </row>
    <row r="29" ht="30" customHeight="1">
      <c r="A29" s="7" t="inlineStr">
        <is>
          <t>Not measured here</t>
        </is>
      </c>
      <c r="B29" s="8" t="inlineStr">
        <is>
          <t>Runtime FPS, GPU timings, real draw calls: no browser ran in this environment. Those cells say 'est.' or 'not profiled'.</t>
        </is>
      </c>
    </row>
  </sheetData>
  <mergeCells count="6">
    <mergeCell ref="B26:E26"/>
    <mergeCell ref="B27:E27"/>
    <mergeCell ref="A2:E2"/>
    <mergeCell ref="B29:E29"/>
    <mergeCell ref="B25:E25"/>
    <mergeCell ref="B28:E28"/>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44" customWidth="1" min="1" max="1"/>
    <col width="34" customWidth="1" min="2" max="2"/>
    <col width="70" customWidth="1" min="3" max="3"/>
  </cols>
  <sheetData>
    <row r="1">
      <c r="A1" s="9" t="inlineStr">
        <is>
          <t>System facts</t>
        </is>
      </c>
    </row>
    <row r="2">
      <c r="A2" s="10" t="inlineStr">
        <is>
          <t>Counts and totals are formulas over the deeper sheets; inputs from code are cited</t>
        </is>
      </c>
    </row>
    <row r="4">
      <c r="A4" s="3" t="inlineStr">
        <is>
          <t>Fact</t>
        </is>
      </c>
      <c r="B4" s="3" t="inlineStr">
        <is>
          <t>Value</t>
        </is>
      </c>
      <c r="C4" s="3" t="inlineStr">
        <is>
          <t>Source / formula basis</t>
        </is>
      </c>
    </row>
    <row r="5">
      <c r="A5" s="5" t="inlineStr">
        <is>
          <t>Repository commit</t>
        </is>
      </c>
      <c r="B5" s="5" t="inlineStr">
        <is>
          <t>e22e24d</t>
        </is>
      </c>
      <c r="C5" s="5" t="inlineStr">
        <is>
          <t>git rev-parse --short HEAD at build</t>
        </is>
      </c>
    </row>
    <row r="6">
      <c r="A6" s="5" t="inlineStr">
        <is>
          <t>Workbook built</t>
        </is>
      </c>
      <c r="B6" s="5" t="inlineStr">
        <is>
          <t>2026-10-22</t>
        </is>
      </c>
      <c r="C6" s="5" t="inlineStr">
        <is>
          <t>build_engine.py</t>
        </is>
      </c>
    </row>
    <row r="7">
      <c r="A7" s="5" t="inlineStr">
        <is>
          <t>Live entry page</t>
        </is>
      </c>
      <c r="B7" s="5" t="inlineStr">
        <is>
          <t>index.html</t>
        </is>
      </c>
      <c r="C7" s="5" t="inlineStr">
        <is>
          <t>index.html:L431</t>
        </is>
      </c>
    </row>
    <row r="8">
      <c r="A8" s="5" t="inlineStr">
        <is>
          <t>Legacy entry page</t>
        </is>
      </c>
      <c r="B8" s="5" t="inlineStr">
        <is>
          <t>index.v2.html (linked from launch.html)</t>
        </is>
      </c>
      <c r="C8" s="5" t="inlineStr">
        <is>
          <t>launch.html:L133</t>
        </is>
      </c>
    </row>
    <row r="9">
      <c r="A9" s="5" t="inlineStr">
        <is>
          <t>Files tracked in 30_Modules</t>
        </is>
      </c>
      <c r="B9" s="11">
        <f>COUNTA('30_Modules'!$A$5:$A$111)</f>
        <v/>
      </c>
      <c r="C9" s="5" t="inlineStr">
        <is>
          <t>30_Modules</t>
        </is>
      </c>
    </row>
    <row r="10">
      <c r="A10" s="5" t="inlineStr">
        <is>
          <t>Active modules</t>
        </is>
      </c>
      <c r="B10" s="11">
        <f>COUNTIF('30_Modules'!$E$5:$E$111,"Active")</f>
        <v/>
      </c>
      <c r="C10" s="5" t="inlineStr">
        <is>
          <t>30_Modules status</t>
        </is>
      </c>
    </row>
    <row r="11">
      <c r="A11" s="5" t="inlineStr">
        <is>
          <t>Imported libraries (no lifecycle)</t>
        </is>
      </c>
      <c r="B11" s="11">
        <f>COUNTIF('30_Modules'!$E$5:$E$111,"Imported library (no module lifecycle)")</f>
        <v/>
      </c>
      <c r="C11" s="5" t="inlineStr">
        <is>
          <t>30_Modules status</t>
        </is>
      </c>
    </row>
    <row r="12">
      <c r="A12" s="5" t="inlineStr">
        <is>
          <t>Registered, activation commented out</t>
        </is>
      </c>
      <c r="B12" s="11">
        <f>COUNTIF('30_Modules'!$E$5:$E$111,"Registered, activation commented out")</f>
        <v/>
      </c>
      <c r="C12" s="5" t="inlineStr">
        <is>
          <t>30_Modules status</t>
        </is>
      </c>
    </row>
    <row r="13">
      <c r="A13" s="5" t="inlineStr">
        <is>
          <t>Legacy v2 build only</t>
        </is>
      </c>
      <c r="B13" s="11">
        <f>COUNTIF('30_Modules'!$E$5:$E$111,"Legacy v2 build only (index.v2.html)")</f>
        <v/>
      </c>
      <c r="C13" s="5" t="inlineStr">
        <is>
          <t>30_Modules status</t>
        </is>
      </c>
    </row>
    <row r="14">
      <c r="A14" s="5" t="inlineStr">
        <is>
          <t>Unreferenced by any entry page</t>
        </is>
      </c>
      <c r="B14" s="11">
        <f>COUNTIF('30_Modules'!$E$5:$E$111,"Unreferenced by any entry page")</f>
        <v/>
      </c>
      <c r="C14" s="5" t="inlineStr">
        <is>
          <t>30_Modules status</t>
        </is>
      </c>
    </row>
    <row r="15">
      <c r="A15" s="5" t="inlineStr">
        <is>
          <t>Boot triangles (desktop, measured assets)</t>
        </is>
      </c>
      <c r="B15" s="11">
        <f>'51_Assets'!F22</f>
        <v/>
      </c>
      <c r="C15" s="5" t="inlineStr">
        <is>
          <t>51_Assets totals</t>
        </is>
      </c>
    </row>
    <row r="16">
      <c r="A16" s="5" t="inlineStr">
        <is>
          <t>Boot texture VRAM est. (MB, per context)</t>
        </is>
      </c>
      <c r="B16" s="11">
        <f>'51_Assets'!J22</f>
        <v/>
      </c>
      <c r="C16" s="5" t="inlineStr">
        <is>
          <t>51_Assets totals</t>
        </is>
      </c>
    </row>
    <row r="17">
      <c r="A17" s="5" t="inlineStr">
        <is>
          <t>WebGL contexts on desktop</t>
        </is>
      </c>
      <c r="B17" s="5" t="n">
        <v>2</v>
      </c>
      <c r="C17" s="5" t="inlineStr">
        <is>
          <t>js/v2/Orchestrator.js:L1114</t>
        </is>
      </c>
    </row>
    <row r="18">
      <c r="A18" s="5" t="inlineStr">
        <is>
          <t>Calls with no live receiver (limbo)</t>
        </is>
      </c>
      <c r="B18" s="11">
        <f>COUNTIF('44_Limbo_Calls'!$F$5:$F$205,"LIMBO*")</f>
        <v/>
      </c>
      <c r="C18" s="5" t="inlineStr">
        <is>
          <t>44_Limbo_Calls</t>
        </is>
      </c>
    </row>
    <row r="19">
      <c r="A19" s="5" t="inlineStr">
        <is>
          <t>Boot triangles before PLN-01 + PLN-02</t>
        </is>
      </c>
      <c r="B19" s="11">
        <f>'51_Assets'!F23</f>
        <v/>
      </c>
      <c r="C19" s="5" t="inlineStr">
        <is>
          <t>51_Assets totals</t>
        </is>
      </c>
    </row>
    <row r="20">
      <c r="A20" s="5" t="inlineStr">
        <is>
          <t>Texture VRAM before PLN-01 + PLN-02 (MB)</t>
        </is>
      </c>
      <c r="B20" s="11">
        <f>'51_Assets'!J24</f>
        <v/>
      </c>
      <c r="C20" s="5" t="inlineStr">
        <is>
          <t>51_Assets totals</t>
        </is>
      </c>
    </row>
    <row r="21">
      <c r="A21" s="5" t="inlineStr">
        <is>
          <t>Triangles removed by PLN-01 + PLN-02</t>
        </is>
      </c>
      <c r="B21" s="11">
        <f>'51_Assets'!F23-'51_Assets'!F22</f>
        <v/>
      </c>
      <c r="C21" s="5" t="inlineStr">
        <is>
          <t>difference</t>
        </is>
      </c>
    </row>
    <row r="22">
      <c r="A22" s="5" t="inlineStr">
        <is>
          <t>Live globals (window.*)</t>
        </is>
      </c>
      <c r="B22" s="11">
        <f>COUNTA('41_Globals'!$A$5:$A$113)</f>
        <v/>
      </c>
      <c r="C22" s="5" t="inlineStr">
        <is>
          <t>41_Globals</t>
        </is>
      </c>
    </row>
    <row r="23">
      <c r="A23" s="5" t="inlineStr">
        <is>
          <t>ANU events with a live subscriber</t>
        </is>
      </c>
      <c r="B23" s="11">
        <f>COUNTIF('42_Events'!$F$5:$F$29,"Live round trip")</f>
        <v/>
      </c>
      <c r="C23" s="5" t="inlineStr">
        <is>
          <t>42_Events</t>
        </is>
      </c>
    </row>
    <row r="24">
      <c r="A24" s="5" t="inlineStr">
        <is>
          <t>Open findings (Critical + High)</t>
        </is>
      </c>
      <c r="B24" s="11">
        <f>COUNTIF('50_Findings'!$B$5:$B$48,"Critical")+COUNTIF('50_Findings'!$B$5:$B$48,"High")</f>
        <v/>
      </c>
      <c r="C24" s="5" t="inlineStr">
        <is>
          <t>50_Findings</t>
        </is>
      </c>
    </row>
    <row r="25">
      <c r="A25" s="5" t="inlineStr">
        <is>
          <t>Plan steps done (incl. code-done awaiting browser check)</t>
        </is>
      </c>
      <c r="B25" s="11">
        <f>COUNTIF('60_Plan'!$G$5:$G$25,"Done*")&amp;" of "&amp;COUNTA('60_Plan'!$A$5:$A$25)</f>
        <v/>
      </c>
      <c r="C25" s="5" t="inlineStr">
        <is>
          <t>60_Plan status</t>
        </is>
      </c>
    </row>
    <row r="26">
      <c r="A26" s="5" t="inlineStr">
        <is>
          <t>PiP stride baseline / max</t>
        </is>
      </c>
      <c r="B26" s="5" t="inlineStr">
        <is>
          <t>16 / 22</t>
        </is>
      </c>
      <c r="C26" s="5" t="inlineStr">
        <is>
          <t>js/v2/constants.js:L63 · js/v2/constants.js:L73</t>
        </is>
      </c>
    </row>
    <row r="27">
      <c r="A27" s="5" t="inlineStr">
        <is>
          <t>Target FPS constant</t>
        </is>
      </c>
      <c r="B27" s="5" t="n">
        <v>65</v>
      </c>
      <c r="C27" s="5" t="inlineStr">
        <is>
          <t>js/v2/constants.js:L66</t>
        </is>
      </c>
    </row>
    <row r="28">
      <c r="A28" s="5" t="inlineStr">
        <is>
          <t>Main renderer DPR cap (desktop / mobile)</t>
        </is>
      </c>
      <c r="B28" s="5" t="inlineStr">
        <is>
          <t>1.5 / 1.0</t>
        </is>
      </c>
      <c r="C28" s="5" t="inlineStr">
        <is>
          <t>js/v2/Orchestrator.js:L130</t>
        </is>
      </c>
    </row>
    <row r="29">
      <c r="A29" s="5" t="inlineStr">
        <is>
          <t>Save key (localStorage)</t>
        </is>
      </c>
      <c r="B29" s="5" t="inlineStr">
        <is>
          <t>v4.sanctuary.save</t>
        </is>
      </c>
      <c r="C29" s="5" t="inlineStr">
        <is>
          <t>js/sanctuary/SanctuaryControls.js:L21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0" customWidth="1" min="3" max="3"/>
    <col width="40" customWidth="1" min="4" max="4"/>
    <col width="9" customWidth="1" min="5" max="5"/>
    <col width="10" customWidth="1" min="6" max="6"/>
    <col width="40" customWidth="1" min="7" max="7"/>
  </cols>
  <sheetData>
    <row r="1">
      <c r="A1" s="9" t="inlineStr">
        <is>
          <t>Boot sequence</t>
        </is>
      </c>
    </row>
    <row r="2">
      <c r="A2" s="10" t="inlineStr">
        <is>
          <t>Activation order in index.html · evidence re-located at build · commit e22e24d</t>
        </is>
      </c>
    </row>
    <row r="4" ht="30" customHeight="1">
      <c r="A4" s="12" t="inlineStr">
        <is>
          <t>Order</t>
        </is>
      </c>
      <c r="B4" s="12" t="inlineStr">
        <is>
          <t>Module name</t>
        </is>
      </c>
      <c r="C4" s="12" t="inlineStr">
        <is>
          <t>Module ID</t>
        </is>
      </c>
      <c r="D4" s="12" t="inlineStr">
        <is>
          <t>File</t>
        </is>
      </c>
      <c r="E4" s="12" t="inlineStr">
        <is>
          <t>Subsystem</t>
        </is>
      </c>
      <c r="F4" s="12" t="inlineStr">
        <is>
          <t>Suspended while fishing</t>
        </is>
      </c>
      <c r="G4" s="12" t="inlineStr">
        <is>
          <t>Evidence</t>
        </is>
      </c>
    </row>
    <row r="5">
      <c r="A5" s="5" t="n">
        <v>1</v>
      </c>
      <c r="B5" s="5" t="inlineStr">
        <is>
          <t>Anu</t>
        </is>
      </c>
      <c r="C5" s="5" t="inlineStr">
        <is>
          <t>MOD-049</t>
        </is>
      </c>
      <c r="D5" s="5" t="inlineStr">
        <is>
          <t>js/v2/AnuModule.js</t>
        </is>
      </c>
      <c r="E5" s="5" t="inlineStr">
        <is>
          <t>SUB-03</t>
        </is>
      </c>
      <c r="F5" s="5" t="inlineStr"/>
      <c r="G5" s="5" t="inlineStr">
        <is>
          <t>index.html:L497</t>
        </is>
      </c>
    </row>
    <row r="6">
      <c r="A6" s="5" t="n">
        <v>2</v>
      </c>
      <c r="B6" s="5" t="inlineStr">
        <is>
          <t>AnuAdaptiveDpr</t>
        </is>
      </c>
      <c r="C6" s="5" t="inlineStr">
        <is>
          <t>MOD-002</t>
        </is>
      </c>
      <c r="D6" s="5" t="inlineStr">
        <is>
          <t>js/sanctuary/AnuAdaptiveDpr.js</t>
        </is>
      </c>
      <c r="E6" s="5" t="inlineStr">
        <is>
          <t>SUB-04</t>
        </is>
      </c>
      <c r="F6" s="5" t="inlineStr"/>
      <c r="G6" s="5" t="inlineStr">
        <is>
          <t>index.html:L500</t>
        </is>
      </c>
    </row>
    <row r="7">
      <c r="A7" s="5" t="n">
        <v>3</v>
      </c>
      <c r="B7" s="5" t="inlineStr">
        <is>
          <t>SanctuaryGround</t>
        </is>
      </c>
      <c r="C7" s="5" t="inlineStr">
        <is>
          <t>MOD-027</t>
        </is>
      </c>
      <c r="D7" s="5" t="inlineStr">
        <is>
          <t>js/sanctuary/SanctuaryGround.js</t>
        </is>
      </c>
      <c r="E7" s="5" t="inlineStr">
        <is>
          <t>SUB-06</t>
        </is>
      </c>
      <c r="F7" s="5" t="inlineStr"/>
      <c r="G7" s="5" t="inlineStr">
        <is>
          <t>index.html:L503</t>
        </is>
      </c>
    </row>
    <row r="8">
      <c r="A8" s="5" t="n">
        <v>4</v>
      </c>
      <c r="B8" s="5" t="inlineStr">
        <is>
          <t>SanctuaryPool</t>
        </is>
      </c>
      <c r="C8" s="5" t="inlineStr">
        <is>
          <t>MOD-035</t>
        </is>
      </c>
      <c r="D8" s="5" t="inlineStr">
        <is>
          <t>js/sanctuary/SanctuaryPool.js</t>
        </is>
      </c>
      <c r="E8" s="5" t="inlineStr">
        <is>
          <t>SUB-06</t>
        </is>
      </c>
      <c r="F8" s="5" t="inlineStr"/>
      <c r="G8" s="5" t="inlineStr">
        <is>
          <t>index.html:L506</t>
        </is>
      </c>
    </row>
    <row r="9">
      <c r="A9" s="5" t="n">
        <v>5</v>
      </c>
      <c r="B9" s="5" t="inlineStr">
        <is>
          <t>SanctuaryDock</t>
        </is>
      </c>
      <c r="C9" s="5" t="inlineStr">
        <is>
          <t>MOD-019</t>
        </is>
      </c>
      <c r="D9" s="5" t="inlineStr">
        <is>
          <t>js/sanctuary/SanctuaryDock.js</t>
        </is>
      </c>
      <c r="E9" s="5" t="inlineStr">
        <is>
          <t>SUB-06</t>
        </is>
      </c>
      <c r="F9" s="5" t="inlineStr"/>
      <c r="G9" s="5" t="inlineStr">
        <is>
          <t>index.html:L509</t>
        </is>
      </c>
    </row>
    <row r="10">
      <c r="A10" s="5" t="n">
        <v>6</v>
      </c>
      <c r="B10" s="5" t="inlineStr">
        <is>
          <t>SanctuaryFish</t>
        </is>
      </c>
      <c r="C10" s="5" t="inlineStr">
        <is>
          <t>MOD-021</t>
        </is>
      </c>
      <c r="D10" s="5" t="inlineStr">
        <is>
          <t>js/sanctuary/SanctuaryFish.js</t>
        </is>
      </c>
      <c r="E10" s="5" t="inlineStr">
        <is>
          <t>SUB-07</t>
        </is>
      </c>
      <c r="F10" s="5" t="inlineStr"/>
      <c r="G10" s="5" t="inlineStr">
        <is>
          <t>index.html:L512</t>
        </is>
      </c>
    </row>
    <row r="11">
      <c r="A11" s="5" t="n">
        <v>7</v>
      </c>
      <c r="B11" s="5" t="inlineStr">
        <is>
          <t>SanctuaryCircles</t>
        </is>
      </c>
      <c r="C11" s="5" t="inlineStr">
        <is>
          <t>MOD-014</t>
        </is>
      </c>
      <c r="D11" s="5" t="inlineStr">
        <is>
          <t>js/sanctuary/SanctuaryCircles.js</t>
        </is>
      </c>
      <c r="E11" s="5" t="inlineStr">
        <is>
          <t>SUB-06</t>
        </is>
      </c>
      <c r="F11" s="5" t="inlineStr"/>
      <c r="G11" s="5" t="inlineStr">
        <is>
          <t>index.html:L515</t>
        </is>
      </c>
    </row>
    <row r="12">
      <c r="A12" s="5" t="n">
        <v>8</v>
      </c>
      <c r="B12" s="5" t="inlineStr">
        <is>
          <t>SanctuaryAvatar</t>
        </is>
      </c>
      <c r="C12" s="5" t="inlineStr">
        <is>
          <t>MOD-011</t>
        </is>
      </c>
      <c r="D12" s="5" t="inlineStr">
        <is>
          <t>js/sanctuary/SanctuaryAvatar.js</t>
        </is>
      </c>
      <c r="E12" s="5" t="inlineStr">
        <is>
          <t>SUB-08</t>
        </is>
      </c>
      <c r="F12" s="5" t="inlineStr"/>
      <c r="G12" s="5" t="inlineStr">
        <is>
          <t>index.html:L528</t>
        </is>
      </c>
    </row>
    <row r="13">
      <c r="A13" s="5" t="n">
        <v>9</v>
      </c>
      <c r="B13" s="5" t="inlineStr">
        <is>
          <t>SanctuaryClickToMove</t>
        </is>
      </c>
      <c r="C13" s="5" t="inlineStr">
        <is>
          <t>MOD-015</t>
        </is>
      </c>
      <c r="D13" s="5" t="inlineStr">
        <is>
          <t>js/sanctuary/SanctuaryClickToMove.js</t>
        </is>
      </c>
      <c r="E13" s="5" t="inlineStr">
        <is>
          <t>SUB-08</t>
        </is>
      </c>
      <c r="F13" s="5" t="inlineStr">
        <is>
          <t>Yes</t>
        </is>
      </c>
      <c r="G13" s="5" t="inlineStr">
        <is>
          <t>index.html:L531</t>
        </is>
      </c>
    </row>
    <row r="14">
      <c r="A14" s="5" t="n">
        <v>10</v>
      </c>
      <c r="B14" s="5" t="inlineStr">
        <is>
          <t>SanctuaryWaterFootsteps</t>
        </is>
      </c>
      <c r="C14" s="5" t="inlineStr">
        <is>
          <t>MOD-043</t>
        </is>
      </c>
      <c r="D14" s="5" t="inlineStr">
        <is>
          <t>js/sanctuary/SanctuaryWaterFootsteps.js</t>
        </is>
      </c>
      <c r="E14" s="5" t="inlineStr">
        <is>
          <t>SUB-08</t>
        </is>
      </c>
      <c r="F14" s="5" t="inlineStr"/>
      <c r="G14" s="5" t="inlineStr">
        <is>
          <t>index.html:L534</t>
        </is>
      </c>
    </row>
    <row r="15">
      <c r="A15" s="5" t="n">
        <v>11</v>
      </c>
      <c r="B15" s="5" t="inlineStr">
        <is>
          <t>SanctuaryWorldPlayerShim</t>
        </is>
      </c>
      <c r="C15" s="5" t="inlineStr">
        <is>
          <t>MOD-046</t>
        </is>
      </c>
      <c r="D15" s="5" t="inlineStr">
        <is>
          <t>js/sanctuary/SanctuaryWorldPlayerShim.js</t>
        </is>
      </c>
      <c r="E15" s="5" t="inlineStr">
        <is>
          <t>SUB-08</t>
        </is>
      </c>
      <c r="F15" s="5" t="inlineStr"/>
      <c r="G15" s="5" t="inlineStr">
        <is>
          <t>index.html:L537</t>
        </is>
      </c>
    </row>
    <row r="16">
      <c r="A16" s="5" t="n">
        <v>12</v>
      </c>
      <c r="B16" s="5" t="inlineStr">
        <is>
          <t>SanctuarySky</t>
        </is>
      </c>
      <c r="C16" s="5" t="inlineStr">
        <is>
          <t>MOD-037</t>
        </is>
      </c>
      <c r="D16" s="5" t="inlineStr">
        <is>
          <t>js/sanctuary/SanctuarySky.js</t>
        </is>
      </c>
      <c r="E16" s="5" t="inlineStr">
        <is>
          <t>SUB-06</t>
        </is>
      </c>
      <c r="F16" s="5" t="inlineStr">
        <is>
          <t>Yes</t>
        </is>
      </c>
      <c r="G16" s="5" t="inlineStr">
        <is>
          <t>index.html:L540</t>
        </is>
      </c>
    </row>
    <row r="17">
      <c r="A17" s="5" t="n">
        <v>13</v>
      </c>
      <c r="B17" s="5" t="inlineStr">
        <is>
          <t>SanctuaryMutations</t>
        </is>
      </c>
      <c r="C17" s="5" t="inlineStr">
        <is>
          <t>MOD-033</t>
        </is>
      </c>
      <c r="D17" s="5" t="inlineStr">
        <is>
          <t>js/sanctuary/SanctuaryMutations.js</t>
        </is>
      </c>
      <c r="E17" s="5" t="inlineStr">
        <is>
          <t>SUB-10</t>
        </is>
      </c>
      <c r="F17" s="5" t="inlineStr">
        <is>
          <t>Yes</t>
        </is>
      </c>
      <c r="G17" s="5" t="inlineStr">
        <is>
          <t>index.html:L543</t>
        </is>
      </c>
    </row>
    <row r="18">
      <c r="A18" s="5" t="n">
        <v>14</v>
      </c>
      <c r="B18" s="5" t="inlineStr">
        <is>
          <t>MoldGrowHill</t>
        </is>
      </c>
      <c r="C18" s="5" t="inlineStr">
        <is>
          <t>MOD-003</t>
        </is>
      </c>
      <c r="D18" s="5" t="inlineStr">
        <is>
          <t>js/sanctuary/MoldGrowHill.js</t>
        </is>
      </c>
      <c r="E18" s="5" t="inlineStr">
        <is>
          <t>SUB-10</t>
        </is>
      </c>
      <c r="F18" s="5" t="inlineStr">
        <is>
          <t>Yes</t>
        </is>
      </c>
      <c r="G18" s="5" t="inlineStr">
        <is>
          <t>index.html:L546</t>
        </is>
      </c>
    </row>
    <row r="19">
      <c r="A19" s="5" t="n">
        <v>15</v>
      </c>
      <c r="B19" s="5" t="inlineStr">
        <is>
          <t>MoldPlantTree</t>
        </is>
      </c>
      <c r="C19" s="5" t="inlineStr">
        <is>
          <t>MOD-009</t>
        </is>
      </c>
      <c r="D19" s="5" t="inlineStr">
        <is>
          <t>js/sanctuary/MoldPlantTree.js</t>
        </is>
      </c>
      <c r="E19" s="5" t="inlineStr">
        <is>
          <t>SUB-10</t>
        </is>
      </c>
      <c r="F19" s="5" t="inlineStr">
        <is>
          <t>Yes</t>
        </is>
      </c>
      <c r="G19" s="5" t="inlineStr">
        <is>
          <t>index.html:L549</t>
        </is>
      </c>
    </row>
    <row r="20">
      <c r="A20" s="5" t="n">
        <v>16</v>
      </c>
      <c r="B20" s="5" t="inlineStr">
        <is>
          <t>MoldPlantFlower</t>
        </is>
      </c>
      <c r="C20" s="5" t="inlineStr">
        <is>
          <t>MOD-006</t>
        </is>
      </c>
      <c r="D20" s="5" t="inlineStr">
        <is>
          <t>js/sanctuary/MoldPlantFlower.js</t>
        </is>
      </c>
      <c r="E20" s="5" t="inlineStr">
        <is>
          <t>SUB-10</t>
        </is>
      </c>
      <c r="F20" s="5" t="inlineStr">
        <is>
          <t>Yes</t>
        </is>
      </c>
      <c r="G20" s="5" t="inlineStr">
        <is>
          <t>index.html:L552</t>
        </is>
      </c>
    </row>
    <row r="21">
      <c r="A21" s="5" t="n">
        <v>17</v>
      </c>
      <c r="B21" s="5" t="inlineStr">
        <is>
          <t>MoldPlantBush</t>
        </is>
      </c>
      <c r="C21" s="5" t="inlineStr">
        <is>
          <t>MOD-005</t>
        </is>
      </c>
      <c r="D21" s="5" t="inlineStr">
        <is>
          <t>js/sanctuary/MoldPlantBush.js</t>
        </is>
      </c>
      <c r="E21" s="5" t="inlineStr">
        <is>
          <t>SUB-10</t>
        </is>
      </c>
      <c r="F21" s="5" t="inlineStr">
        <is>
          <t>Yes</t>
        </is>
      </c>
      <c r="G21" s="5" t="inlineStr">
        <is>
          <t>index.html:L555</t>
        </is>
      </c>
    </row>
    <row r="22">
      <c r="A22" s="5" t="n">
        <v>18</v>
      </c>
      <c r="B22" s="5" t="inlineStr">
        <is>
          <t>MoldPlantLily</t>
        </is>
      </c>
      <c r="C22" s="5" t="inlineStr">
        <is>
          <t>MOD-007</t>
        </is>
      </c>
      <c r="D22" s="5" t="inlineStr">
        <is>
          <t>js/sanctuary/MoldPlantLily.js</t>
        </is>
      </c>
      <c r="E22" s="5" t="inlineStr">
        <is>
          <t>SUB-10</t>
        </is>
      </c>
      <c r="F22" s="5" t="inlineStr">
        <is>
          <t>Yes</t>
        </is>
      </c>
      <c r="G22" s="5" t="inlineStr">
        <is>
          <t>index.html:L556</t>
        </is>
      </c>
    </row>
    <row r="23">
      <c r="A23" s="5" t="n">
        <v>19</v>
      </c>
      <c r="B23" s="5" t="inlineStr">
        <is>
          <t>MoldPlantRock</t>
        </is>
      </c>
      <c r="C23" s="5" t="inlineStr">
        <is>
          <t>MOD-008</t>
        </is>
      </c>
      <c r="D23" s="5" t="inlineStr">
        <is>
          <t>js/sanctuary/MoldPlantRock.js</t>
        </is>
      </c>
      <c r="E23" s="5" t="inlineStr">
        <is>
          <t>SUB-10</t>
        </is>
      </c>
      <c r="F23" s="5" t="inlineStr">
        <is>
          <t>Yes</t>
        </is>
      </c>
      <c r="G23" s="5" t="inlineStr">
        <is>
          <t>index.html:L557</t>
        </is>
      </c>
    </row>
    <row r="24">
      <c r="A24" s="5" t="n">
        <v>20</v>
      </c>
      <c r="B24" s="5" t="inlineStr">
        <is>
          <t>MoldPlaceTipi</t>
        </is>
      </c>
      <c r="C24" s="5" t="inlineStr">
        <is>
          <t>MOD-004</t>
        </is>
      </c>
      <c r="D24" s="5" t="inlineStr">
        <is>
          <t>js/sanctuary/MoldPlaceTipi.js</t>
        </is>
      </c>
      <c r="E24" s="5" t="inlineStr">
        <is>
          <t>SUB-10</t>
        </is>
      </c>
      <c r="F24" s="5" t="inlineStr">
        <is>
          <t>Yes</t>
        </is>
      </c>
      <c r="G24" s="5" t="inlineStr">
        <is>
          <t>index.html:L558</t>
        </is>
      </c>
    </row>
    <row r="25">
      <c r="A25" s="5" t="n">
        <v>21</v>
      </c>
      <c r="B25" s="5" t="inlineStr">
        <is>
          <t>SanctuaryButterflies</t>
        </is>
      </c>
      <c r="C25" s="5" t="inlineStr">
        <is>
          <t>MOD-013</t>
        </is>
      </c>
      <c r="D25" s="5" t="inlineStr">
        <is>
          <t>js/sanctuary/SanctuaryButterflies.js</t>
        </is>
      </c>
      <c r="E25" s="5" t="inlineStr">
        <is>
          <t>SUB-07</t>
        </is>
      </c>
      <c r="F25" s="5" t="inlineStr">
        <is>
          <t>Yes</t>
        </is>
      </c>
      <c r="G25" s="5" t="inlineStr">
        <is>
          <t>index.html:L561</t>
        </is>
      </c>
    </row>
    <row r="26">
      <c r="A26" s="5" t="n">
        <v>22</v>
      </c>
      <c r="B26" s="5" t="inlineStr">
        <is>
          <t>SanctuaryToolPalette</t>
        </is>
      </c>
      <c r="C26" s="5" t="inlineStr">
        <is>
          <t>MOD-040</t>
        </is>
      </c>
      <c r="D26" s="5" t="inlineStr">
        <is>
          <t>js/sanctuary/SanctuaryToolPalette.js</t>
        </is>
      </c>
      <c r="E26" s="5" t="inlineStr">
        <is>
          <t>SUB-10</t>
        </is>
      </c>
      <c r="F26" s="5" t="inlineStr">
        <is>
          <t>Yes</t>
        </is>
      </c>
      <c r="G26" s="5" t="inlineStr">
        <is>
          <t>index.html:L564</t>
        </is>
      </c>
    </row>
    <row r="27">
      <c r="A27" s="5" t="n">
        <v>23</v>
      </c>
      <c r="B27" s="5" t="inlineStr">
        <is>
          <t>SanctuaryMapGeneratorUi</t>
        </is>
      </c>
      <c r="C27" s="5" t="inlineStr">
        <is>
          <t>MOD-032</t>
        </is>
      </c>
      <c r="D27" s="5" t="inlineStr">
        <is>
          <t>js/sanctuary/SanctuaryMapGeneratorUi.js</t>
        </is>
      </c>
      <c r="E27" s="5" t="inlineStr">
        <is>
          <t>SUB-10</t>
        </is>
      </c>
      <c r="F27" s="5" t="inlineStr">
        <is>
          <t>Yes</t>
        </is>
      </c>
      <c r="G27" s="5" t="inlineStr">
        <is>
          <t>index.html:L565</t>
        </is>
      </c>
    </row>
    <row r="28">
      <c r="A28" s="5" t="n">
        <v>24</v>
      </c>
      <c r="B28" s="5" t="inlineStr">
        <is>
          <t>SanctuaryKeyboardLook</t>
        </is>
      </c>
      <c r="C28" s="5" t="inlineStr">
        <is>
          <t>MOD-031</t>
        </is>
      </c>
      <c r="D28" s="5" t="inlineStr">
        <is>
          <t>js/sanctuary/SanctuaryKeyboardLook.js</t>
        </is>
      </c>
      <c r="E28" s="5" t="inlineStr">
        <is>
          <t>SUB-08</t>
        </is>
      </c>
      <c r="F28" s="5" t="inlineStr">
        <is>
          <t>Yes</t>
        </is>
      </c>
      <c r="G28" s="5" t="inlineStr">
        <is>
          <t>index.html:L568</t>
        </is>
      </c>
    </row>
    <row r="29">
      <c r="A29" s="5" t="n">
        <v>25</v>
      </c>
      <c r="B29" s="5" t="inlineStr">
        <is>
          <t>SanctuaryZoom</t>
        </is>
      </c>
      <c r="C29" s="5" t="inlineStr">
        <is>
          <t>MOD-048</t>
        </is>
      </c>
      <c r="D29" s="5" t="inlineStr">
        <is>
          <t>js/sanctuary/SanctuaryZoom.js</t>
        </is>
      </c>
      <c r="E29" s="5" t="inlineStr">
        <is>
          <t>SUB-08</t>
        </is>
      </c>
      <c r="F29" s="5" t="inlineStr">
        <is>
          <t>Yes</t>
        </is>
      </c>
      <c r="G29" s="5" t="inlineStr">
        <is>
          <t>index.html:L571</t>
        </is>
      </c>
    </row>
    <row r="30">
      <c r="A30" s="5" t="n">
        <v>26</v>
      </c>
      <c r="B30" s="5" t="inlineStr">
        <is>
          <t>PanelsPIP</t>
        </is>
      </c>
      <c r="C30" s="5" t="inlineStr">
        <is>
          <t>MOD-064</t>
        </is>
      </c>
      <c r="D30" s="5" t="inlineStr">
        <is>
          <t>js/v2/UIModule.js</t>
        </is>
      </c>
      <c r="E30" s="5" t="inlineStr">
        <is>
          <t>SUB-05</t>
        </is>
      </c>
      <c r="F30" s="5" t="inlineStr"/>
      <c r="G30" s="5" t="inlineStr">
        <is>
          <t>index.html:L574</t>
        </is>
      </c>
    </row>
    <row r="31">
      <c r="A31" s="5" t="n">
        <v>27</v>
      </c>
      <c r="B31" s="5" t="inlineStr">
        <is>
          <t>SanctuaryVillagePad</t>
        </is>
      </c>
      <c r="C31" s="5" t="inlineStr">
        <is>
          <t>MOD-042</t>
        </is>
      </c>
      <c r="D31" s="5" t="inlineStr">
        <is>
          <t>js/sanctuary/SanctuaryVillagePad.js</t>
        </is>
      </c>
      <c r="E31" s="5" t="inlineStr">
        <is>
          <t>SUB-10</t>
        </is>
      </c>
      <c r="F31" s="5" t="inlineStr">
        <is>
          <t>Yes</t>
        </is>
      </c>
      <c r="G31" s="5" t="inlineStr">
        <is>
          <t>index.html:L577</t>
        </is>
      </c>
    </row>
    <row r="32">
      <c r="A32" s="5" t="n">
        <v>28</v>
      </c>
      <c r="B32" s="5" t="inlineStr">
        <is>
          <t>SanctuaryTipis</t>
        </is>
      </c>
      <c r="C32" s="5" t="inlineStr">
        <is>
          <t>MOD-039</t>
        </is>
      </c>
      <c r="D32" s="5" t="inlineStr">
        <is>
          <t>js/sanctuary/SanctuaryTipis.js</t>
        </is>
      </c>
      <c r="E32" s="5" t="inlineStr">
        <is>
          <t>SUB-10</t>
        </is>
      </c>
      <c r="F32" s="5" t="inlineStr">
        <is>
          <t>Yes</t>
        </is>
      </c>
      <c r="G32" s="5" t="inlineStr">
        <is>
          <t>index.html:L580</t>
        </is>
      </c>
    </row>
    <row r="33">
      <c r="A33" s="5" t="n">
        <v>29</v>
      </c>
      <c r="B33" s="5" t="inlineStr">
        <is>
          <t>SanctuaryTipiNpcs</t>
        </is>
      </c>
      <c r="C33" s="5" t="inlineStr">
        <is>
          <t>MOD-038</t>
        </is>
      </c>
      <c r="D33" s="5" t="inlineStr">
        <is>
          <t>js/sanctuary/SanctuaryTipiNpcs.js</t>
        </is>
      </c>
      <c r="E33" s="5" t="inlineStr">
        <is>
          <t>SUB-09</t>
        </is>
      </c>
      <c r="F33" s="5" t="inlineStr">
        <is>
          <t>Yes</t>
        </is>
      </c>
      <c r="G33" s="5" t="inlineStr">
        <is>
          <t>index.html:L583</t>
        </is>
      </c>
    </row>
    <row r="34">
      <c r="A34" s="5" t="n">
        <v>30</v>
      </c>
      <c r="B34" s="5" t="inlineStr">
        <is>
          <t>SanctuaryBraziers</t>
        </is>
      </c>
      <c r="C34" s="5" t="inlineStr">
        <is>
          <t>MOD-012</t>
        </is>
      </c>
      <c r="D34" s="5" t="inlineStr">
        <is>
          <t>js/sanctuary/SanctuaryBraziers.js</t>
        </is>
      </c>
      <c r="E34" s="5" t="inlineStr">
        <is>
          <t>SUB-10</t>
        </is>
      </c>
      <c r="F34" s="5" t="inlineStr">
        <is>
          <t>Yes</t>
        </is>
      </c>
      <c r="G34" s="5" t="inlineStr">
        <is>
          <t>index.html:L586</t>
        </is>
      </c>
    </row>
    <row r="35">
      <c r="A35" s="5" t="n">
        <v>31</v>
      </c>
      <c r="B35" s="5" t="inlineStr">
        <is>
          <t>SanctuaryFishJumps</t>
        </is>
      </c>
      <c r="C35" s="5" t="inlineStr">
        <is>
          <t>MOD-022</t>
        </is>
      </c>
      <c r="D35" s="5" t="inlineStr">
        <is>
          <t>js/sanctuary/SanctuaryFishJumps.js</t>
        </is>
      </c>
      <c r="E35" s="5" t="inlineStr">
        <is>
          <t>SUB-07</t>
        </is>
      </c>
      <c r="F35" s="5" t="inlineStr"/>
      <c r="G35" s="5" t="inlineStr">
        <is>
          <t>index.html:L589</t>
        </is>
      </c>
    </row>
    <row r="36">
      <c r="A36" s="5" t="n">
        <v>32</v>
      </c>
      <c r="B36" s="5" t="inlineStr">
        <is>
          <t>SanctuaryControls</t>
        </is>
      </c>
      <c r="C36" s="5" t="inlineStr">
        <is>
          <t>MOD-016</t>
        </is>
      </c>
      <c r="D36" s="5" t="inlineStr">
        <is>
          <t>js/sanctuary/SanctuaryControls.js</t>
        </is>
      </c>
      <c r="E36" s="5" t="inlineStr">
        <is>
          <t>SUB-12</t>
        </is>
      </c>
      <c r="F36" s="5" t="inlineStr"/>
      <c r="G36" s="5" t="inlineStr">
        <is>
          <t>index.html:L592</t>
        </is>
      </c>
    </row>
    <row r="37">
      <c r="A37" s="5" t="n">
        <v>33</v>
      </c>
      <c r="B37" s="5" t="inlineStr">
        <is>
          <t>SanctuaryDayNight</t>
        </is>
      </c>
      <c r="C37" s="5" t="inlineStr">
        <is>
          <t>MOD-018</t>
        </is>
      </c>
      <c r="D37" s="5" t="inlineStr">
        <is>
          <t>js/sanctuary/SanctuaryDayNight.js</t>
        </is>
      </c>
      <c r="E37" s="5" t="inlineStr">
        <is>
          <t>SUB-06</t>
        </is>
      </c>
      <c r="F37" s="5" t="inlineStr"/>
      <c r="G37" s="5" t="inlineStr">
        <is>
          <t>index.html:L595</t>
        </is>
      </c>
    </row>
    <row r="38">
      <c r="A38" s="5" t="n">
        <v>34</v>
      </c>
      <c r="B38" s="5" t="inlineStr">
        <is>
          <t>SanctuaryCursor</t>
        </is>
      </c>
      <c r="C38" s="5" t="inlineStr">
        <is>
          <t>MOD-017</t>
        </is>
      </c>
      <c r="D38" s="5" t="inlineStr">
        <is>
          <t>js/sanctuary/SanctuaryCursor.js</t>
        </is>
      </c>
      <c r="E38" s="5" t="inlineStr">
        <is>
          <t>SUB-08</t>
        </is>
      </c>
      <c r="F38" s="5" t="inlineStr">
        <is>
          <t>Yes</t>
        </is>
      </c>
      <c r="G38" s="5" t="inlineStr">
        <is>
          <t>index.html:L598</t>
        </is>
      </c>
    </row>
    <row r="39">
      <c r="A39" s="5" t="n">
        <v>35</v>
      </c>
      <c r="B39" s="5" t="inlineStr">
        <is>
          <t>SanctuaryAmbient</t>
        </is>
      </c>
      <c r="C39" s="5" t="inlineStr">
        <is>
          <t>MOD-010</t>
        </is>
      </c>
      <c r="D39" s="5" t="inlineStr">
        <is>
          <t>js/sanctuary/SanctuaryAmbient.js</t>
        </is>
      </c>
      <c r="E39" s="5" t="inlineStr">
        <is>
          <t>SUB-06</t>
        </is>
      </c>
      <c r="F39" s="5" t="inlineStr">
        <is>
          <t>Yes</t>
        </is>
      </c>
      <c r="G39" s="5" t="inlineStr">
        <is>
          <t>index.html:L601</t>
        </is>
      </c>
    </row>
    <row r="40">
      <c r="A40" s="5" t="n">
        <v>36</v>
      </c>
      <c r="B40" s="5" t="inlineStr">
        <is>
          <t>SanctuaryInventory</t>
        </is>
      </c>
      <c r="C40" s="5" t="inlineStr">
        <is>
          <t>MOD-029</t>
        </is>
      </c>
      <c r="D40" s="5" t="inlineStr">
        <is>
          <t>js/sanctuary/SanctuaryInventory.js</t>
        </is>
      </c>
      <c r="E40" s="5" t="inlineStr">
        <is>
          <t>SUB-12</t>
        </is>
      </c>
      <c r="F40" s="5" t="inlineStr">
        <is>
          <t>Yes</t>
        </is>
      </c>
      <c r="G40" s="5" t="inlineStr">
        <is>
          <t>index.html:L604</t>
        </is>
      </c>
    </row>
    <row r="41">
      <c r="A41" s="5" t="n">
        <v>37</v>
      </c>
      <c r="B41" s="5" t="inlineStr">
        <is>
          <t>SanctuaryWeather</t>
        </is>
      </c>
      <c r="C41" s="5" t="inlineStr">
        <is>
          <t>MOD-044</t>
        </is>
      </c>
      <c r="D41" s="5" t="inlineStr">
        <is>
          <t>js/sanctuary/SanctuaryWeather.js</t>
        </is>
      </c>
      <c r="E41" s="5" t="inlineStr">
        <is>
          <t>SUB-06</t>
        </is>
      </c>
      <c r="F41" s="5" t="inlineStr">
        <is>
          <t>Yes</t>
        </is>
      </c>
      <c r="G41" s="5" t="inlineStr">
        <is>
          <t>index.html:L607</t>
        </is>
      </c>
    </row>
    <row r="42">
      <c r="A42" s="5" t="n">
        <v>38</v>
      </c>
      <c r="B42" s="5" t="inlineStr">
        <is>
          <t>SanctuaryFishing</t>
        </is>
      </c>
      <c r="C42" s="5" t="inlineStr">
        <is>
          <t>MOD-023</t>
        </is>
      </c>
      <c r="D42" s="5" t="inlineStr">
        <is>
          <t>js/sanctuary/SanctuaryFishing.js</t>
        </is>
      </c>
      <c r="E42" s="5" t="inlineStr">
        <is>
          <t>SUB-11</t>
        </is>
      </c>
      <c r="F42" s="5" t="inlineStr"/>
      <c r="G42" s="5" t="inlineStr">
        <is>
          <t>index.html:L611</t>
        </is>
      </c>
    </row>
    <row r="43">
      <c r="A43" s="5" t="n">
        <v>39</v>
      </c>
      <c r="B43" s="5" t="inlineStr">
        <is>
          <t>SanctuaryWelcomeGuide</t>
        </is>
      </c>
      <c r="C43" s="5" t="inlineStr">
        <is>
          <t>MOD-045</t>
        </is>
      </c>
      <c r="D43" s="5" t="inlineStr">
        <is>
          <t>js/sanctuary/SanctuaryWelcomeGuide.js</t>
        </is>
      </c>
      <c r="E43" s="5" t="inlineStr">
        <is>
          <t>SUB-13</t>
        </is>
      </c>
      <c r="F43" s="5" t="inlineStr">
        <is>
          <t>Yes</t>
        </is>
      </c>
      <c r="G43" s="5" t="inlineStr">
        <is>
          <t>index.html:L614</t>
        </is>
      </c>
    </row>
    <row r="44">
      <c r="A44" s="5" t="n">
        <v>40</v>
      </c>
      <c r="B44" s="5" t="inlineStr">
        <is>
          <t>SanctuaryJournalBridge</t>
        </is>
      </c>
      <c r="C44" s="5" t="inlineStr">
        <is>
          <t>MOD-030</t>
        </is>
      </c>
      <c r="D44" s="5" t="inlineStr">
        <is>
          <t>js/sanctuary/SanctuaryJournalBridge.js</t>
        </is>
      </c>
      <c r="E44" s="5" t="inlineStr">
        <is>
          <t>SUB-13</t>
        </is>
      </c>
      <c r="F44" s="5" t="inlineStr">
        <is>
          <t>Yes</t>
        </is>
      </c>
      <c r="G44" s="5" t="inlineStr">
        <is>
          <t>index.html:L617</t>
        </is>
      </c>
    </row>
    <row r="45">
      <c r="A45" s="5" t="n">
        <v>41</v>
      </c>
      <c r="B45" s="5" t="inlineStr">
        <is>
          <t>SanctuaryDragonfly</t>
        </is>
      </c>
      <c r="C45" s="5" t="inlineStr">
        <is>
          <t>MOD-020</t>
        </is>
      </c>
      <c r="D45" s="5" t="inlineStr">
        <is>
          <t>js/sanctuary/SanctuaryDragonfly.js</t>
        </is>
      </c>
      <c r="E45" s="5" t="inlineStr">
        <is>
          <t>SUB-07</t>
        </is>
      </c>
      <c r="F45" s="5" t="inlineStr"/>
      <c r="G45" s="5" t="inlineStr">
        <is>
          <t>index.html:L620</t>
        </is>
      </c>
    </row>
    <row r="46">
      <c r="A46" s="5" t="n">
        <v>42</v>
      </c>
      <c r="B46" s="5" t="inlineStr">
        <is>
          <t>SanctuaryPondTrees</t>
        </is>
      </c>
      <c r="C46" s="5" t="inlineStr">
        <is>
          <t>MOD-034</t>
        </is>
      </c>
      <c r="D46" s="5" t="inlineStr">
        <is>
          <t>js/sanctuary/SanctuaryPondTrees.js</t>
        </is>
      </c>
      <c r="E46" s="5" t="inlineStr">
        <is>
          <t>SUB-06</t>
        </is>
      </c>
      <c r="F46" s="5" t="inlineStr"/>
      <c r="G46" s="5" t="inlineStr">
        <is>
          <t>index.html:L623</t>
        </is>
      </c>
    </row>
    <row r="47">
      <c r="A47" s="5" t="n">
        <v>43</v>
      </c>
      <c r="B47" s="5" t="inlineStr">
        <is>
          <t>SanctuaryFrogs</t>
        </is>
      </c>
      <c r="C47" s="5" t="inlineStr">
        <is>
          <t>MOD-026</t>
        </is>
      </c>
      <c r="D47" s="5" t="inlineStr">
        <is>
          <t>js/sanctuary/SanctuaryFrogs.js</t>
        </is>
      </c>
      <c r="E47" s="5" t="inlineStr">
        <is>
          <t>SUB-07</t>
        </is>
      </c>
      <c r="F47" s="5" t="inlineStr"/>
      <c r="G47" s="5" t="inlineStr">
        <is>
          <t>index.html:L626</t>
        </is>
      </c>
    </row>
    <row r="48">
      <c r="A48" s="5" t="inlineStr">
        <is>
          <t>—</t>
        </is>
      </c>
      <c r="B48" s="5" t="inlineStr">
        <is>
          <t>SanctuaryHexGrid (commented out)</t>
        </is>
      </c>
      <c r="C48" s="5" t="inlineStr">
        <is>
          <t>MOD-028</t>
        </is>
      </c>
      <c r="D48" s="5" t="inlineStr">
        <is>
          <t>js/sanctuary/SanctuaryHexGrid.js</t>
        </is>
      </c>
      <c r="E48" s="5" t="inlineStr">
        <is>
          <t>SUB-06</t>
        </is>
      </c>
      <c r="F48" s="5" t="inlineStr"/>
      <c r="G48" s="5" t="inlineStr">
        <is>
          <t>index.html:L525</t>
        </is>
      </c>
    </row>
  </sheetData>
  <autoFilter ref="A4:G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22" customWidth="1" min="3" max="3"/>
    <col width="32" customWidth="1" min="4" max="4"/>
    <col width="40" customWidth="1" min="5" max="5"/>
    <col width="18" customWidth="1" min="6" max="6"/>
  </cols>
  <sheetData>
    <row r="1">
      <c r="A1" s="9" t="inlineStr">
        <is>
          <t>Frame loop</t>
        </is>
      </c>
    </row>
    <row r="2">
      <c r="A2" s="10" t="inlineStr">
        <is>
          <t>SacredOrchestrator._loop — order of work in one frame</t>
        </is>
      </c>
    </row>
    <row r="4" ht="30" customHeight="1">
      <c r="A4" s="12" t="inlineStr">
        <is>
          <t>Step</t>
        </is>
      </c>
      <c r="B4" s="12" t="inlineStr">
        <is>
          <t>Work</t>
        </is>
      </c>
      <c r="C4" s="12" t="inlineStr">
        <is>
          <t>Cadence</t>
        </is>
      </c>
      <c r="D4" s="12" t="inlineStr">
        <is>
          <t>Evidence</t>
        </is>
      </c>
      <c r="E4" s="12" t="inlineStr">
        <is>
          <t>Cost class</t>
        </is>
      </c>
      <c r="F4" s="12" t="inlineStr">
        <is>
          <t>Findings</t>
        </is>
      </c>
    </row>
    <row r="5">
      <c r="A5" s="5" t="n">
        <v>1</v>
      </c>
      <c r="B5" s="5" t="inlineStr">
        <is>
          <t>FPS EMA smoothing</t>
        </is>
      </c>
      <c r="C5" s="5" t="inlineStr">
        <is>
          <t>Every frame</t>
        </is>
      </c>
      <c r="D5" s="5" t="inlineStr">
        <is>
          <t>js/v2/Orchestrator.js:L666</t>
        </is>
      </c>
      <c r="E5" s="5" t="inlineStr">
        <is>
          <t>CPU, trivial</t>
        </is>
      </c>
      <c r="F5" s="5" t="inlineStr"/>
    </row>
    <row r="6">
      <c r="A6" s="5" t="n">
        <v>2</v>
      </c>
      <c r="B6" s="5" t="inlineStr">
        <is>
          <t>AnuNatureAwareness.tick()</t>
        </is>
      </c>
      <c r="C6" s="5" t="inlineStr">
        <is>
          <t>Every frame</t>
        </is>
      </c>
      <c r="D6" s="5" t="inlineStr">
        <is>
          <t>js/v2/Orchestrator.js:L698</t>
        </is>
      </c>
      <c r="E6" s="5" t="inlineStr">
        <is>
          <t>CPU, trivial</t>
        </is>
      </c>
      <c r="F6" s="5" t="inlineStr"/>
    </row>
    <row r="7">
      <c r="A7" s="5" t="n">
        <v>3</v>
      </c>
      <c r="B7" s="5" t="inlineStr">
        <is>
          <t>43 module update() calls in activation order (27 skipped while fishing)</t>
        </is>
      </c>
      <c r="C7" s="5" t="inlineStr">
        <is>
          <t>Every frame</t>
        </is>
      </c>
      <c r="D7" s="5" t="inlineStr">
        <is>
          <t>js/v2/Orchestrator.js:L702</t>
        </is>
      </c>
      <c r="E7" s="5" t="inlineStr">
        <is>
          <t>CPU; see 30_Modules hazards</t>
        </is>
      </c>
      <c r="F7" s="5" t="inlineStr">
        <is>
          <t>FND-17</t>
        </is>
      </c>
    </row>
    <row r="8">
      <c r="A8" s="5" t="n">
        <v>4</v>
      </c>
      <c r="B8" s="5" t="inlineStr">
        <is>
          <t>Benchmark tick</t>
        </is>
      </c>
      <c r="C8" s="5" t="inlineStr">
        <is>
          <t>Every frame while a bench runs</t>
        </is>
      </c>
      <c r="D8" s="5" t="inlineStr">
        <is>
          <t>js/v2/Orchestrator.js:L721</t>
        </is>
      </c>
      <c r="E8" s="5" t="inlineStr">
        <is>
          <t>CPU, trivial</t>
        </is>
      </c>
      <c r="F8" s="5" t="inlineStr">
        <is>
          <t>FND-14</t>
        </is>
      </c>
    </row>
    <row r="9">
      <c r="A9" s="5" t="n">
        <v>5</v>
      </c>
      <c r="B9" s="5" t="inlineStr">
        <is>
          <t>Stress level → shadow autoUpdate / sampling</t>
        </is>
      </c>
      <c r="C9" s="5" t="inlineStr">
        <is>
          <t>Every frame</t>
        </is>
      </c>
      <c r="D9" s="5" t="inlineStr">
        <is>
          <t>js/v2/Orchestrator.js:L737</t>
        </is>
      </c>
      <c r="E9" s="5" t="inlineStr">
        <is>
          <t>GPU: shadow pass every frame when OPTIMAL</t>
        </is>
      </c>
      <c r="F9" s="5" t="inlineStr">
        <is>
          <t>FND-16</t>
        </is>
      </c>
    </row>
    <row r="10">
      <c r="A10" s="5" t="n">
        <v>6</v>
      </c>
      <c r="B10" s="5" t="inlineStr">
        <is>
          <t>PiP bypass hysteresis (CRITICAL → off, OPTIMAL → on)</t>
        </is>
      </c>
      <c r="C10" s="5" t="inlineStr">
        <is>
          <t>Every frame</t>
        </is>
      </c>
      <c r="D10" s="5" t="inlineStr">
        <is>
          <t>js/v2/Orchestrator.js:L770</t>
        </is>
      </c>
      <c r="E10" s="5" t="inlineStr">
        <is>
          <t>Decision only</t>
        </is>
      </c>
      <c r="F10" s="5" t="inlineStr">
        <is>
          <t>FND-08</t>
        </is>
      </c>
    </row>
    <row r="11">
      <c r="A11" s="5" t="n">
        <v>7</v>
      </c>
      <c r="B11" s="5" t="inlineStr">
        <is>
          <t>Main render</t>
        </is>
      </c>
      <c r="C11" s="5" t="inlineStr">
        <is>
          <t>Every frame</t>
        </is>
      </c>
      <c r="D11" s="5" t="inlineStr">
        <is>
          <t>js/v2/Orchestrator.js:L773</t>
        </is>
      </c>
      <c r="E11" s="5" t="inlineStr">
        <is>
          <t>GPU: ~4.0M boot triangles</t>
        </is>
      </c>
      <c r="F11" s="5" t="inlineStr">
        <is>
          <t>FND-01, FND-02, FND-15</t>
        </is>
      </c>
    </row>
    <row r="12">
      <c r="A12" s="5" t="n">
        <v>8</v>
      </c>
      <c r="B12" s="5" t="inlineStr">
        <is>
          <t>PiP render (2nd context): FPV map stride 16 · Village View every frame · fishing every 2nd</t>
        </is>
      </c>
      <c r="C12" s="5" t="inlineStr">
        <is>
          <t>Variable</t>
        </is>
      </c>
      <c r="D12" s="5" t="inlineStr">
        <is>
          <t>js/v2/Orchestrator.js:L1392</t>
        </is>
      </c>
      <c r="E12" s="5" t="inlineStr">
        <is>
          <t>GPU: full scene again + MSAA; CPU: scene traversal per pass</t>
        </is>
      </c>
      <c r="F12" s="5" t="inlineStr">
        <is>
          <t>FND-04, FND-05, FND-06</t>
        </is>
      </c>
    </row>
    <row r="13">
      <c r="A13" s="5" t="n">
        <v>9</v>
      </c>
      <c r="B13" s="5" t="inlineStr">
        <is>
          <t>HUD values (+ ANU audit and governance at 2 Hz)</t>
        </is>
      </c>
      <c r="C13" s="5" t="inlineStr">
        <is>
          <t>Every 20 frames</t>
        </is>
      </c>
      <c r="D13" s="5" t="inlineStr">
        <is>
          <t>js/v2/Orchestrator.js:L783</t>
        </is>
      </c>
      <c r="E13" s="5" t="inlineStr">
        <is>
          <t>CPU + DOM writes</t>
        </is>
      </c>
      <c r="F13" s="5" t="inlineStr"/>
    </row>
    <row r="14">
      <c r="A14" s="5" t="n">
        <v>10</v>
      </c>
      <c r="B14" s="5" t="inlineStr">
        <is>
          <t>recordFrameDuration + tickAdaptiveRenderPolicy</t>
        </is>
      </c>
      <c r="C14" s="5" t="inlineStr">
        <is>
          <t>Every frame</t>
        </is>
      </c>
      <c r="D14" s="5" t="inlineStr">
        <is>
          <t>js/v2/Orchestrator.js:L799</t>
        </is>
      </c>
      <c r="E14" s="5" t="inlineStr">
        <is>
          <t>Feeds JS-only time to governors</t>
        </is>
      </c>
      <c r="F14" s="5" t="inlineStr">
        <is>
          <t>FND-07</t>
        </is>
      </c>
    </row>
    <row r="15">
      <c r="A15" s="5" t="n">
        <v>11</v>
      </c>
      <c r="B15" s="5" t="inlineStr">
        <is>
          <t>Stress ledger sample</t>
        </is>
      </c>
      <c r="C15" s="5" t="inlineStr">
        <is>
          <t>Every 45 frames</t>
        </is>
      </c>
      <c r="D15" s="5" t="inlineStr">
        <is>
          <t>js/v2/Orchestrator.js:L808</t>
        </is>
      </c>
      <c r="E15" s="5" t="inlineStr">
        <is>
          <t>CPU, small</t>
        </is>
      </c>
      <c r="F15" s="5" t="inlineStr"/>
    </row>
    <row r="16">
      <c r="A16" s="5" t="n">
        <v>12</v>
      </c>
      <c r="B16" s="5" t="inlineStr">
        <is>
          <t>Scene inventory walk</t>
        </is>
      </c>
      <c r="C16" s="5" t="inlineStr">
        <is>
          <t>Every 120 frames</t>
        </is>
      </c>
      <c r="D16" s="5" t="inlineStr">
        <is>
          <t>js/v2/Orchestrator.js:L819</t>
        </is>
      </c>
      <c r="E16" s="5" t="inlineStr">
        <is>
          <t>CPU spike: traverse + getWorldPosition per object</t>
        </is>
      </c>
      <c r="F16" s="5" t="inlineStr">
        <is>
          <t>FND-09</t>
        </is>
      </c>
    </row>
    <row r="17">
      <c r="A17" s="5" t="n">
        <v>13</v>
      </c>
      <c r="B17" s="5" t="inlineStr">
        <is>
          <t>ANU alert evaluation (inside AnuModule.update)</t>
        </is>
      </c>
      <c r="C17" s="5" t="inlineStr">
        <is>
          <t>Every 240 frames</t>
        </is>
      </c>
      <c r="D17" s="5" t="inlineStr">
        <is>
          <t>js/v2/AnuModule.js:L536</t>
        </is>
      </c>
      <c r="E17" s="5" t="inlineStr">
        <is>
          <t>CPU, small</t>
        </is>
      </c>
      <c r="F17" s="5" t="inlineStr"/>
    </row>
  </sheetData>
  <autoFilter ref="A4:F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44" customWidth="1" min="3" max="3"/>
    <col width="52" customWidth="1" min="4" max="4"/>
    <col width="9" customWidth="1" min="5" max="5"/>
    <col width="9" customWidth="1" min="6" max="6"/>
    <col width="10" customWidth="1" min="7" max="7"/>
    <col width="40" customWidth="1" min="8" max="8"/>
    <col width="22" customWidth="1" min="9" max="9"/>
    <col width="16" customWidth="1" min="10" max="10"/>
  </cols>
  <sheetData>
    <row r="1">
      <c r="A1" s="9" t="inlineStr">
        <is>
          <t>Subsystems</t>
        </is>
      </c>
    </row>
    <row r="2">
      <c r="A2" s="10" t="inlineStr">
        <is>
          <t>Counts are live formulas over 30_Modules</t>
        </is>
      </c>
    </row>
    <row r="4" ht="30" customHeight="1">
      <c r="A4" s="12" t="inlineStr">
        <is>
          <t>Subsystem ID</t>
        </is>
      </c>
      <c r="B4" s="12" t="inlineStr">
        <is>
          <t>Subsystem</t>
        </is>
      </c>
      <c r="C4" s="12" t="inlineStr">
        <is>
          <t>Assumed role (docs/comments)</t>
        </is>
      </c>
      <c r="D4" s="12" t="inlineStr">
        <is>
          <t>Verified reality (mechanical)</t>
        </is>
      </c>
      <c r="E4" s="12" t="inlineStr">
        <is>
          <t>Files (count)</t>
        </is>
      </c>
      <c r="F4" s="12" t="inlineStr">
        <is>
          <t>Active modules</t>
        </is>
      </c>
      <c r="G4" s="12" t="inlineStr">
        <is>
          <t>Lines of code</t>
        </is>
      </c>
      <c r="H4" s="12" t="inlineStr">
        <is>
          <t>Module IDs</t>
        </is>
      </c>
      <c r="I4" s="12" t="inlineStr">
        <is>
          <t>Findings</t>
        </is>
      </c>
      <c r="J4" s="12" t="inlineStr">
        <is>
          <t>Plan steps</t>
        </is>
      </c>
    </row>
    <row r="5">
      <c r="A5" s="5" t="inlineStr">
        <is>
          <t>SUB-01</t>
        </is>
      </c>
      <c r="B5" s="5" t="inlineStr">
        <is>
          <t>Boot &amp; entry</t>
        </is>
      </c>
      <c r="C5" s="5" t="inlineStr">
        <is>
          <t>Loads the page, import map, loading modal, registers and activates modules in a fixed order.</t>
        </is>
      </c>
      <c r="D5" s="5" t="inlineStr">
        <is>
          <t>index.html is the only live entry; index.v2.html is an older v2 build reachable from launch.html.</t>
        </is>
      </c>
      <c r="E5" s="5">
        <f>COUNTIF('30_Modules'!$C$5:$C$111,A5)</f>
        <v/>
      </c>
      <c r="F5" s="5">
        <f>COUNTIFS('30_Modules'!$C$5:$C$111,A5,'30_Modules'!$E$5:$E$111,"Active")</f>
        <v/>
      </c>
      <c r="G5" s="5">
        <f>SUMIF('30_Modules'!$C$5:$C$111,A5,'30_Modules'!$Y$5:$Y$111)</f>
        <v/>
      </c>
      <c r="H5" s="5" t="inlineStr">
        <is>
          <t>MOD-001</t>
        </is>
      </c>
      <c r="I5" s="5" t="inlineStr">
        <is>
          <t>FND-13, FND-19</t>
        </is>
      </c>
      <c r="J5" s="5" t="inlineStr">
        <is>
          <t>PLN-10, PLN-15</t>
        </is>
      </c>
    </row>
    <row r="6">
      <c r="A6" s="5" t="inlineStr">
        <is>
          <t>SUB-02</t>
        </is>
      </c>
      <c r="B6" s="5" t="inlineStr">
        <is>
          <t>Engine shell</t>
        </is>
      </c>
      <c r="C6" s="5" t="inlineStr">
        <is>
          <t>SacredOrchestrator owns renderer, scene, camera, RAF loop, module registry, HUD.</t>
        </is>
      </c>
      <c r="D6" s="5" t="inlineStr">
        <is>
          <t>One RAF loop calls 43 active modules in activation order, then renders main + PiP.</t>
        </is>
      </c>
      <c r="E6" s="5">
        <f>COUNTIF('30_Modules'!$C$5:$C$111,A6)</f>
        <v/>
      </c>
      <c r="F6" s="5">
        <f>COUNTIFS('30_Modules'!$C$5:$C$111,A6,'30_Modules'!$E$5:$E$111,"Active")</f>
        <v/>
      </c>
      <c r="G6" s="5">
        <f>SUMIF('30_Modules'!$C$5:$C$111,A6,'30_Modules'!$Y$5:$Y$111)</f>
        <v/>
      </c>
      <c r="H6" s="5" t="inlineStr">
        <is>
          <t>MOD-059, MOD-060, MOD-061</t>
        </is>
      </c>
      <c r="I6" s="5" t="inlineStr">
        <is>
          <t>FND-11, FND-14, FND-16</t>
        </is>
      </c>
      <c r="J6" s="5" t="inlineStr">
        <is>
          <t>PLN-11, PLN-12, PLN-13</t>
        </is>
      </c>
    </row>
    <row r="7">
      <c r="A7" s="5" t="inlineStr">
        <is>
          <t>SUB-03</t>
        </is>
      </c>
      <c r="B7" s="5" t="inlineStr">
        <is>
          <t>ANU governance &amp; telemetry</t>
        </is>
      </c>
      <c r="C7" s="5" t="inlineStr">
        <is>
          <t>Self-observing layer: audit, governance checks, sensorium, error/stress ledger, event bus, services.</t>
        </is>
      </c>
      <c r="D7" s="5" t="inlineStr">
        <is>
          <t>Mostly read-on-demand diagnostics. InteractionBus has 0 live subscribers; inventory walk runs every 120 frames with no live reader.</t>
        </is>
      </c>
      <c r="E7" s="5">
        <f>COUNTIF('30_Modules'!$C$5:$C$111,A7)</f>
        <v/>
      </c>
      <c r="F7" s="5">
        <f>COUNTIFS('30_Modules'!$C$5:$C$111,A7,'30_Modules'!$E$5:$E$111,"Active")</f>
        <v/>
      </c>
      <c r="G7" s="5">
        <f>SUMIF('30_Modules'!$C$5:$C$111,A7,'30_Modules'!$Y$5:$Y$111)</f>
        <v/>
      </c>
      <c r="H7" s="5" t="inlineStr">
        <is>
          <t>MOD-049, MOD-087, MOD-088, MOD-089, MOD-091, MOD-093, MOD-097, MOD-098, MOD-099, MOD-100, MOD-101, MOD-102</t>
        </is>
      </c>
      <c r="I7" s="5" t="inlineStr">
        <is>
          <t>FND-09, FND-10, FND-12</t>
        </is>
      </c>
      <c r="J7" s="5" t="inlineStr">
        <is>
          <t>PLN-08, PLN-09, PLN-12</t>
        </is>
      </c>
    </row>
    <row r="8">
      <c r="A8" s="5" t="inlineStr">
        <is>
          <t>SUB-04</t>
        </is>
      </c>
      <c r="B8" s="5" t="inlineStr">
        <is>
          <t>Render governance</t>
        </is>
      </c>
      <c r="C8" s="5" t="inlineStr">
        <is>
          <t>Adaptive DPR, PiP stride, shadow sampling driven by frame budget.</t>
        </is>
      </c>
      <c r="D8" s="5" t="inlineStr">
        <is>
          <t>Three controllers act on the same lever (PiP stride) with different thresholds; all read JS-only frame time.</t>
        </is>
      </c>
      <c r="E8" s="5">
        <f>COUNTIF('30_Modules'!$C$5:$C$111,A8)</f>
        <v/>
      </c>
      <c r="F8" s="5">
        <f>COUNTIFS('30_Modules'!$C$5:$C$111,A8,'30_Modules'!$E$5:$E$111,"Active")</f>
        <v/>
      </c>
      <c r="G8" s="5">
        <f>SUMIF('30_Modules'!$C$5:$C$111,A8,'30_Modules'!$Y$5:$Y$111)</f>
        <v/>
      </c>
      <c r="H8" s="5" t="inlineStr">
        <is>
          <t>MOD-002, MOD-086, MOD-092, MOD-095, MOD-096</t>
        </is>
      </c>
      <c r="I8" s="5" t="inlineStr">
        <is>
          <t>FND-07, FND-08</t>
        </is>
      </c>
      <c r="J8" s="5" t="inlineStr">
        <is>
          <t>PLN-07</t>
        </is>
      </c>
    </row>
    <row r="9">
      <c r="A9" s="5" t="inlineStr">
        <is>
          <t>SUB-05</t>
        </is>
      </c>
      <c r="B9" s="5" t="inlineStr">
        <is>
          <t>PiP minimap &amp; compass</t>
        </is>
      </c>
      <c r="C9" s="5" t="inlineStr">
        <is>
          <t>Picture-in-picture map / FPV view with compass dial.</t>
        </is>
      </c>
      <c r="D9" s="5" t="inlineStr">
        <is>
          <t>Second WebGL context on desktop; full scene re-render; every frame in Village View.</t>
        </is>
      </c>
      <c r="E9" s="5">
        <f>COUNTIF('30_Modules'!$C$5:$C$111,A9)</f>
        <v/>
      </c>
      <c r="F9" s="5">
        <f>COUNTIFS('30_Modules'!$C$5:$C$111,A9,'30_Modules'!$E$5:$E$111,"Active")</f>
        <v/>
      </c>
      <c r="G9" s="5">
        <f>SUMIF('30_Modules'!$C$5:$C$111,A9,'30_Modules'!$Y$5:$Y$111)</f>
        <v/>
      </c>
      <c r="H9" s="5" t="inlineStr">
        <is>
          <t>MOD-064, MOD-094, MOD-106</t>
        </is>
      </c>
      <c r="I9" s="5" t="inlineStr">
        <is>
          <t>FND-04, FND-05, FND-06, FND-21, FND-22, FND-25, FND-26, FND-31, FND-44</t>
        </is>
      </c>
      <c r="J9" s="5" t="inlineStr">
        <is>
          <t>PLN-05, PLN-06, PLN-16, PLN-18, PLN-19</t>
        </is>
      </c>
    </row>
    <row r="10">
      <c r="A10" s="5" t="inlineStr">
        <is>
          <t>SUB-06</t>
        </is>
      </c>
      <c r="B10" s="5" t="inlineStr">
        <is>
          <t>World environment</t>
        </is>
      </c>
      <c r="C10" s="5" t="inlineStr">
        <is>
          <t>Ground, sky, day/night, weather, ambient audio, pool, dock, circles, pond flora.</t>
        </is>
      </c>
      <c r="D10" s="5" t="inlineStr">
        <is>
          <t>Pool and ground are procedural; pond flora is instanced (tree 18, bush 24, reeds 14).</t>
        </is>
      </c>
      <c r="E10" s="5">
        <f>COUNTIF('30_Modules'!$C$5:$C$111,A10)</f>
        <v/>
      </c>
      <c r="F10" s="5">
        <f>COUNTIFS('30_Modules'!$C$5:$C$111,A10,'30_Modules'!$E$5:$E$111,"Active")</f>
        <v/>
      </c>
      <c r="G10" s="5">
        <f>SUMIF('30_Modules'!$C$5:$C$111,A10,'30_Modules'!$Y$5:$Y$111)</f>
        <v/>
      </c>
      <c r="H10" s="5" t="inlineStr">
        <is>
          <t>MOD-010, MOD-014, MOD-018, MOD-019, MOD-027, MOD-028, MOD-034, MOD-035, MOD-036, MOD-037, MOD-044</t>
        </is>
      </c>
      <c r="I10" s="5" t="inlineStr">
        <is>
          <t>FND-35, FND-36, FND-37, FND-38, FND-39, FND-40, FND-43</t>
        </is>
      </c>
      <c r="J10" s="5" t="inlineStr">
        <is>
          <t>PLN-21</t>
        </is>
      </c>
    </row>
    <row r="11">
      <c r="A11" s="5" t="inlineStr">
        <is>
          <t>SUB-07</t>
        </is>
      </c>
      <c r="B11" s="5" t="inlineStr">
        <is>
          <t>Fauna</t>
        </is>
      </c>
      <c r="C11" s="5" t="inlineStr">
        <is>
          <t>Fish, fish jumps, frogs, butterflies, dragonfly, nature awareness.</t>
        </is>
      </c>
      <c r="D11" s="5" t="inlineStr">
        <is>
          <t>18 trout at 23,466 tris each as separate meshes; small fish instanced (32).</t>
        </is>
      </c>
      <c r="E11" s="5">
        <f>COUNTIF('30_Modules'!$C$5:$C$111,A11)</f>
        <v/>
      </c>
      <c r="F11" s="5">
        <f>COUNTIFS('30_Modules'!$C$5:$C$111,A11,'30_Modules'!$E$5:$E$111,"Active")</f>
        <v/>
      </c>
      <c r="G11" s="5">
        <f>SUMIF('30_Modules'!$C$5:$C$111,A11,'30_Modules'!$Y$5:$Y$111)</f>
        <v/>
      </c>
      <c r="H11" s="5" t="inlineStr">
        <is>
          <t>MOD-013, MOD-020, MOD-021, MOD-022, MOD-026, MOD-090</t>
        </is>
      </c>
      <c r="I11" s="5" t="inlineStr">
        <is>
          <t>FND-15, FND-30, FND-33, FND-34, FND-42</t>
        </is>
      </c>
      <c r="J11" s="5" t="inlineStr">
        <is>
          <t>PLN-04, PLN-16, PLN-21</t>
        </is>
      </c>
    </row>
    <row r="12">
      <c r="A12" s="5" t="inlineStr">
        <is>
          <t>SUB-08</t>
        </is>
      </c>
      <c r="B12" s="5" t="inlineStr">
        <is>
          <t>Player</t>
        </is>
      </c>
      <c r="C12" s="5" t="inlineStr">
        <is>
          <t>Avatar, click-to-move, keyboard look, zoom, cursor, footsteps, WorldPlayer shim.</t>
        </is>
      </c>
      <c r="D12" s="5" t="inlineStr">
        <is>
          <t>Loads Avatar-New.glb (246k tris, 2×4096² maps) by default; Avatar3 only with ?avatar=old.</t>
        </is>
      </c>
      <c r="E12" s="5">
        <f>COUNTIF('30_Modules'!$C$5:$C$111,A12)</f>
        <v/>
      </c>
      <c r="F12" s="5">
        <f>COUNTIFS('30_Modules'!$C$5:$C$111,A12,'30_Modules'!$E$5:$E$111,"Active")</f>
        <v/>
      </c>
      <c r="G12" s="5">
        <f>SUMIF('30_Modules'!$C$5:$C$111,A12,'30_Modules'!$Y$5:$Y$111)</f>
        <v/>
      </c>
      <c r="H12" s="5" t="inlineStr">
        <is>
          <t>MOD-011, MOD-015, MOD-017, MOD-031, MOD-041, MOD-043, MOD-046, MOD-048</t>
        </is>
      </c>
      <c r="I12" s="5" t="inlineStr">
        <is>
          <t>FND-17, FND-29</t>
        </is>
      </c>
      <c r="J12" s="5" t="inlineStr">
        <is>
          <t>PLN-14, PLN-20</t>
        </is>
      </c>
    </row>
    <row r="13">
      <c r="A13" s="5" t="inlineStr">
        <is>
          <t>SUB-09</t>
        </is>
      </c>
      <c r="B13" s="5" t="inlineStr">
        <is>
          <t>Population (NPCs)</t>
        </is>
      </c>
      <c r="C13" s="5" t="inlineStr">
        <is>
          <t>Seated NPCs at tipis: Yellow Butterfly, BHG, REG.</t>
        </is>
      </c>
      <c r="D13" s="5" t="inlineStr">
        <is>
          <t>Ambient only; REG is 1.94M tris on desktop and skipped on mobile.</t>
        </is>
      </c>
      <c r="E13" s="5">
        <f>COUNTIF('30_Modules'!$C$5:$C$111,A13)</f>
        <v/>
      </c>
      <c r="F13" s="5">
        <f>COUNTIFS('30_Modules'!$C$5:$C$111,A13,'30_Modules'!$E$5:$E$111,"Active")</f>
        <v/>
      </c>
      <c r="G13" s="5">
        <f>SUMIF('30_Modules'!$C$5:$C$111,A13,'30_Modules'!$Y$5:$Y$111)</f>
        <v/>
      </c>
      <c r="H13" s="5" t="inlineStr">
        <is>
          <t>MOD-038, MOD-058</t>
        </is>
      </c>
      <c r="I13" s="5" t="inlineStr">
        <is>
          <t>FND-01</t>
        </is>
      </c>
      <c r="J13" s="5" t="inlineStr">
        <is>
          <t>PLN-01</t>
        </is>
      </c>
    </row>
    <row r="14">
      <c r="A14" s="5" t="inlineStr">
        <is>
          <t>SUB-10</t>
        </is>
      </c>
      <c r="B14" s="5" t="inlineStr">
        <is>
          <t>Structures &amp; village building</t>
        </is>
      </c>
      <c r="C14" s="5" t="inlineStr">
        <is>
          <t>Tipis, braziers, village pad, mold tools, tool palette, building panel, map generator.</t>
        </is>
      </c>
      <c r="D14" s="5" t="inlineStr">
        <is>
          <t>Mold tools place flora/hills/rocks/tipis; building panel is list-only; 3 tipi clones of a 246k-tri model.</t>
        </is>
      </c>
      <c r="E14" s="5">
        <f>COUNTIF('30_Modules'!$C$5:$C$111,A14)</f>
        <v/>
      </c>
      <c r="F14" s="5">
        <f>COUNTIFS('30_Modules'!$C$5:$C$111,A14,'30_Modules'!$E$5:$E$111,"Active")</f>
        <v/>
      </c>
      <c r="G14" s="5">
        <f>SUMIF('30_Modules'!$C$5:$C$111,A14,'30_Modules'!$Y$5:$Y$111)</f>
        <v/>
      </c>
      <c r="H14" s="5" t="inlineStr">
        <is>
          <t>MOD-003, MOD-004, MOD-005, MOD-006, MOD-007, MOD-008, MOD-009, MOD-012, MOD-032, MOD-033, MOD-039, MOD-040, MOD-042, MOD-051, MOD-062, MOD-084</t>
        </is>
      </c>
      <c r="I14" s="5" t="inlineStr">
        <is>
          <t>FND-02, FND-24</t>
        </is>
      </c>
      <c r="J14" s="5" t="inlineStr">
        <is>
          <t>PLN-02, PLN-18</t>
        </is>
      </c>
    </row>
    <row r="15">
      <c r="A15" s="5" t="inlineStr">
        <is>
          <t>SUB-11</t>
        </is>
      </c>
      <c r="B15" s="5" t="inlineStr">
        <is>
          <t>Fishing</t>
        </is>
      </c>
      <c r="C15" s="5" t="inlineStr">
        <is>
          <t>Cast, bite turns, reel, catch, gauge, PiP gauge close-up.</t>
        </is>
      </c>
      <c r="D15" s="5" t="inlineStr">
        <is>
          <t>Largest module (2,991 lines, 981-line update). Transmission material on the gauge adds a pass while fishing.</t>
        </is>
      </c>
      <c r="E15" s="5">
        <f>COUNTIF('30_Modules'!$C$5:$C$111,A15)</f>
        <v/>
      </c>
      <c r="F15" s="5">
        <f>COUNTIFS('30_Modules'!$C$5:$C$111,A15,'30_Modules'!$E$5:$E$111,"Active")</f>
        <v/>
      </c>
      <c r="G15" s="5">
        <f>SUMIF('30_Modules'!$C$5:$C$111,A15,'30_Modules'!$Y$5:$Y$111)</f>
        <v/>
      </c>
      <c r="H15" s="5" t="inlineStr">
        <is>
          <t>MOD-023</t>
        </is>
      </c>
      <c r="I15" s="5" t="inlineStr">
        <is>
          <t>FND-18, FND-28, FND-32, FND-41</t>
        </is>
      </c>
      <c r="J15" s="5" t="inlineStr">
        <is>
          <t>PLN-14, PLN-16, PLN-21</t>
        </is>
      </c>
    </row>
    <row r="16">
      <c r="A16" s="5" t="inlineStr">
        <is>
          <t>SUB-12</t>
        </is>
      </c>
      <c r="B16" s="5" t="inlineStr">
        <is>
          <t>Items &amp; save</t>
        </is>
      </c>
      <c r="C16" s="5" t="inlineStr">
        <is>
          <t>Harvest inventory and SAVE/RESET of world mutations.</t>
        </is>
      </c>
      <c r="D16" s="5" t="inlineStr">
        <is>
          <t>localStorage key v4.sanctuary.save; spec key sacredAdventures_saveState not implemented.</t>
        </is>
      </c>
      <c r="E16" s="5">
        <f>COUNTIF('30_Modules'!$C$5:$C$111,A16)</f>
        <v/>
      </c>
      <c r="F16" s="5">
        <f>COUNTIFS('30_Modules'!$C$5:$C$111,A16,'30_Modules'!$E$5:$E$111,"Active")</f>
        <v/>
      </c>
      <c r="G16" s="5">
        <f>SUMIF('30_Modules'!$C$5:$C$111,A16,'30_Modules'!$Y$5:$Y$111)</f>
        <v/>
      </c>
      <c r="H16" s="5" t="inlineStr">
        <is>
          <t>MOD-016, MOD-029</t>
        </is>
      </c>
      <c r="I16" s="5" t="inlineStr"/>
      <c r="J16" s="5" t="inlineStr"/>
    </row>
    <row r="17">
      <c r="A17" s="5" t="inlineStr">
        <is>
          <t>SUB-13</t>
        </is>
      </c>
      <c r="B17" s="5" t="inlineStr">
        <is>
          <t>UI shell &amp; journal</t>
        </is>
      </c>
      <c r="C17" s="5" t="inlineStr">
        <is>
          <t>Panel and journal iframes, welcome guide, controls bar, HUD.</t>
        </is>
      </c>
      <c r="D17" s="5" t="inlineStr">
        <is>
          <t>postMessage bridge; HUD runs audit + governance at 2 Hz.</t>
        </is>
      </c>
      <c r="E17" s="5">
        <f>COUNTIF('30_Modules'!$C$5:$C$111,A17)</f>
        <v/>
      </c>
      <c r="F17" s="5">
        <f>COUNTIFS('30_Modules'!$C$5:$C$111,A17,'30_Modules'!$E$5:$E$111,"Active")</f>
        <v/>
      </c>
      <c r="G17" s="5">
        <f>SUMIF('30_Modules'!$C$5:$C$111,A17,'30_Modules'!$Y$5:$Y$111)</f>
        <v/>
      </c>
      <c r="H17" s="5" t="inlineStr">
        <is>
          <t>MOD-030, MOD-045</t>
        </is>
      </c>
      <c r="I17" s="5" t="inlineStr">
        <is>
          <t>FND-23</t>
        </is>
      </c>
      <c r="J17" s="5" t="inlineStr">
        <is>
          <t>PLN-17</t>
        </is>
      </c>
    </row>
    <row r="18">
      <c r="A18" s="5" t="inlineStr">
        <is>
          <t>SUB-14</t>
        </is>
      </c>
      <c r="B18" s="5" t="inlineStr">
        <is>
          <t>Asset pipeline</t>
        </is>
      </c>
      <c r="C18" s="5" t="inlineStr">
        <is>
          <t>Draco loader, mobile GLB swap, compression scripts.</t>
        </is>
      </c>
      <c r="D18" s="5" t="inlineStr">
        <is>
          <t>Mobile swap set does not include the tipi URL the live game loads.</t>
        </is>
      </c>
      <c r="E18" s="5">
        <f>COUNTIF('30_Modules'!$C$5:$C$111,A18)</f>
        <v/>
      </c>
      <c r="F18" s="5">
        <f>COUNTIFS('30_Modules'!$C$5:$C$111,A18,'30_Modules'!$E$5:$E$111,"Active")</f>
        <v/>
      </c>
      <c r="G18" s="5">
        <f>SUMIF('30_Modules'!$C$5:$C$111,A18,'30_Modules'!$Y$5:$Y$111)</f>
        <v/>
      </c>
      <c r="H18" s="5" t="inlineStr">
        <is>
          <t>MOD-104</t>
        </is>
      </c>
      <c r="I18" s="5" t="inlineStr">
        <is>
          <t>FND-03, FND-20</t>
        </is>
      </c>
      <c r="J18" s="5" t="inlineStr">
        <is>
          <t>PLN-03, PLN-14</t>
        </is>
      </c>
    </row>
    <row r="19">
      <c r="A19" s="5" t="inlineStr">
        <is>
          <t>SUB-15</t>
        </is>
      </c>
      <c r="B19" s="5" t="inlineStr">
        <is>
          <t>Shared config &amp; helpers</t>
        </is>
      </c>
      <c r="C19" s="5" t="inlineStr">
        <is>
          <t>constants, maps registry, terrain/platform helpers, compass math.</t>
        </is>
      </c>
      <c r="D19" s="5" t="inlineStr">
        <is>
          <t>constants.js is imported by most modules; v2 helper files are imported for single functions.</t>
        </is>
      </c>
      <c r="E19" s="5">
        <f>COUNTIF('30_Modules'!$C$5:$C$111,A19)</f>
        <v/>
      </c>
      <c r="F19" s="5">
        <f>COUNTIFS('30_Modules'!$C$5:$C$111,A19,'30_Modules'!$E$5:$E$111,"Active")</f>
        <v/>
      </c>
      <c r="G19" s="5">
        <f>SUMIF('30_Modules'!$C$5:$C$111,A19,'30_Modules'!$Y$5:$Y$111)</f>
        <v/>
      </c>
      <c r="H19" s="5" t="inlineStr">
        <is>
          <t>MOD-057, MOD-074, MOD-080, MOD-082, MOD-083, MOD-103</t>
        </is>
      </c>
      <c r="I19" s="5" t="inlineStr">
        <is>
          <t>FND-27</t>
        </is>
      </c>
      <c r="J19" s="5" t="inlineStr">
        <is>
          <t>PLN-18</t>
        </is>
      </c>
    </row>
    <row r="20">
      <c r="A20" s="5" t="inlineStr">
        <is>
          <t>SUB-16</t>
        </is>
      </c>
      <c r="B20" s="5" t="inlineStr">
        <is>
          <t>Legacy / unused code</t>
        </is>
      </c>
      <c r="C20" s="5" t="inlineStr">
        <is>
          <t>v2 world modules and sanctuary leftovers.</t>
        </is>
      </c>
      <c r="D20" s="5" t="inlineStr">
        <is>
          <t>20 files only reachable from index.v2.html; 8 files reachable from no entry page.</t>
        </is>
      </c>
      <c r="E20" s="5">
        <f>COUNTIF('30_Modules'!$C$5:$C$111,A20)</f>
        <v/>
      </c>
      <c r="F20" s="5">
        <f>COUNTIFS('30_Modules'!$C$5:$C$111,A20,'30_Modules'!$E$5:$E$111,"Active")</f>
        <v/>
      </c>
      <c r="G20" s="5">
        <f>SUMIF('30_Modules'!$C$5:$C$111,A20,'30_Modules'!$Y$5:$Y$111)</f>
        <v/>
      </c>
      <c r="H20" s="5" t="inlineStr">
        <is>
          <t>MOD-024, MOD-025, MOD-047, MOD-050, MOD-052, MOD-053, MOD-054, MOD-055, MOD-056, MOD-063, MOD-065, MOD-066, MOD-067, MOD-068, MOD-069, MOD-070, MOD-071, MOD-072, MOD-073, MOD-075, MOD-076, MOD-077, MOD-078, MOD-079, MOD-081, MOD-085, MOD-105, MOD-107</t>
        </is>
      </c>
      <c r="I20" s="5" t="inlineStr"/>
      <c r="J20" s="5" t="inlineStr"/>
    </row>
  </sheetData>
  <autoFilter ref="A4:J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9" customWidth="1" min="3" max="3"/>
    <col width="20" customWidth="1" min="4" max="4"/>
    <col width="22" customWidth="1" min="5" max="5"/>
    <col width="8" customWidth="1" min="6" max="6"/>
    <col width="22" customWidth="1" min="7" max="7"/>
    <col width="14" customWidth="1" min="8" max="8"/>
    <col width="60" customWidth="1" min="9" max="9"/>
    <col width="50" customWidth="1" min="10" max="10"/>
    <col width="30" customWidth="1" min="11" max="11"/>
    <col width="30" customWidth="1" min="12" max="12"/>
    <col width="30" customWidth="1" min="13" max="13"/>
    <col width="30" customWidth="1" min="14" max="14"/>
    <col width="26" customWidth="1" min="15" max="15"/>
    <col width="18" customWidth="1" min="16" max="16"/>
    <col width="20" customWidth="1" min="17" max="17"/>
    <col width="20" customWidth="1" min="18" max="18"/>
    <col width="30" customWidth="1" min="19" max="19"/>
    <col width="9" customWidth="1" min="20" max="20"/>
    <col width="8" customWidth="1" min="21" max="21"/>
    <col width="8" customWidth="1" min="22" max="22"/>
    <col width="34" customWidth="1" min="23" max="23"/>
    <col width="14" customWidth="1" min="24" max="24"/>
  </cols>
  <sheetData>
    <row r="1">
      <c r="A1" s="9" t="inlineStr">
        <is>
          <t>Modules</t>
        </is>
      </c>
    </row>
    <row r="2">
      <c r="A2" s="10" t="inlineStr">
        <is>
          <t>107 files under js/sanctuary, js/v2, js/v2/anu + BuildBadge · generated by extract.py</t>
        </is>
      </c>
    </row>
    <row r="4" ht="30" customHeight="1">
      <c r="A4" s="12" t="inlineStr">
        <is>
          <t>Module ID</t>
        </is>
      </c>
      <c r="B4" s="12" t="inlineStr">
        <is>
          <t>File</t>
        </is>
      </c>
      <c r="C4" s="12" t="inlineStr">
        <is>
          <t>Subsystem ID</t>
        </is>
      </c>
      <c r="D4" s="12" t="inlineStr">
        <is>
          <t>Subsystem</t>
        </is>
      </c>
      <c r="E4" s="12" t="inlineStr">
        <is>
          <t>Status (verified)</t>
        </is>
      </c>
      <c r="F4" s="12" t="inlineStr">
        <is>
          <t>Activation order</t>
        </is>
      </c>
      <c r="G4" s="12" t="inlineStr">
        <is>
          <t>Module name</t>
        </is>
      </c>
      <c r="H4" s="12" t="inlineStr">
        <is>
          <t>ANU domain (claimed)</t>
        </is>
      </c>
      <c r="I4" s="12" t="inlineStr">
        <is>
          <t>Assumed purpose (header comment — treat as stale)</t>
        </is>
      </c>
      <c r="J4" s="12" t="inlineStr">
        <is>
          <t>Verified behaviour (mechanical)</t>
        </is>
      </c>
      <c r="K4" s="12" t="inlineStr">
        <is>
          <t>Imports (MOD IDs)</t>
        </is>
      </c>
      <c r="L4" s="12" t="inlineStr">
        <is>
          <t>Imported by (MOD IDs)</t>
        </is>
      </c>
      <c r="M4" s="12" t="inlineStr">
        <is>
          <t>Globals written</t>
        </is>
      </c>
      <c r="N4" s="12" t="inlineStr">
        <is>
          <t>Globals read</t>
        </is>
      </c>
      <c r="O4" s="12" t="inlineStr">
        <is>
          <t>ANU events dispatched</t>
        </is>
      </c>
      <c r="P4" s="12" t="inlineStr">
        <is>
          <t>ANU events subscribed</t>
        </is>
      </c>
      <c r="Q4" s="12" t="inlineStr">
        <is>
          <t>Runtime services</t>
        </is>
      </c>
      <c r="R4" s="12" t="inlineStr">
        <is>
          <t>postMessage / DOM events sent</t>
        </is>
      </c>
      <c r="S4" s="12" t="inlineStr">
        <is>
          <t>Assets referenced</t>
        </is>
      </c>
      <c r="T4" s="12" t="inlineStr">
        <is>
          <t>Suspended while fishing</t>
        </is>
      </c>
      <c r="U4" s="12" t="inlineStr">
        <is>
          <t>Also in v2 build</t>
        </is>
      </c>
      <c r="V4" s="12" t="inlineStr">
        <is>
          <t>Commits touching file</t>
        </is>
      </c>
      <c r="W4" s="12" t="inlineStr">
        <is>
          <t>Last commit</t>
        </is>
      </c>
      <c r="X4" s="12" t="inlineStr">
        <is>
          <t>Findings</t>
        </is>
      </c>
      <c r="Y4" s="3" t="inlineStr">
        <is>
          <t>Lines</t>
        </is>
      </c>
    </row>
    <row r="5">
      <c r="A5" s="5" t="inlineStr">
        <is>
          <t>MOD-001</t>
        </is>
      </c>
      <c r="B5" s="5" t="inlineStr">
        <is>
          <t>js/BuildBadge.js</t>
        </is>
      </c>
      <c r="C5" s="5" t="inlineStr">
        <is>
          <t>SUB-01</t>
        </is>
      </c>
      <c r="D5" s="5" t="inlineStr">
        <is>
          <t>Boot &amp; entry</t>
        </is>
      </c>
      <c r="E5" s="5" t="inlineStr">
        <is>
          <t>Imported library (no module lifecycle)</t>
        </is>
      </c>
      <c r="F5" s="5" t="n"/>
      <c r="G5" s="5" t="inlineStr"/>
      <c r="H5" s="5" t="inlineStr"/>
      <c r="I5" s="5" t="inlineStr">
        <is>
          <t>BuildBadge — fixed bottom-left commit/sync indicator. Reads build-info.json (written by scripts/build-info.mjs via the post-commit hook) and renders a high-contrast pill showing the last commit subject, timestamp (relative + absolute), branch, SW cache version, and a DIRTY flag if the working tree has uncommitted changes. Purpose: every AI agent + the user can see at a glance which commit the current page actually reflects, so "I committed X" claims can be verified against on-screen truth. Placed bottom-left, high z-index, always on top of the main canvas.</t>
        </is>
      </c>
      <c r="J5" s="5" t="inlineStr">
        <is>
          <t>179 lines, 7.4 KB. No update().</t>
        </is>
      </c>
      <c r="K5" s="5" t="inlineStr"/>
      <c r="L5" s="5" t="inlineStr"/>
      <c r="M5" s="5" t="inlineStr"/>
      <c r="N5" s="5" t="inlineStr"/>
      <c r="O5" s="5" t="inlineStr"/>
      <c r="P5" s="5" t="inlineStr"/>
      <c r="Q5" s="5" t="inlineStr"/>
      <c r="R5" s="5" t="inlineStr"/>
      <c r="S5" s="5" t="inlineStr"/>
      <c r="T5" s="5" t="inlineStr"/>
      <c r="U5" s="5" t="inlineStr"/>
      <c r="V5" s="5" t="n">
        <v>5</v>
      </c>
      <c r="W5" s="5" t="inlineStr">
        <is>
          <t>2026-05-29 feat(pipeline): build-signature badge — show which AI's build is live</t>
        </is>
      </c>
      <c r="X5" s="5" t="inlineStr"/>
      <c r="Y5" s="6" t="n">
        <v>179</v>
      </c>
    </row>
    <row r="6">
      <c r="A6" s="5" t="inlineStr">
        <is>
          <t>MOD-002</t>
        </is>
      </c>
      <c r="B6" s="5" t="inlineStr">
        <is>
          <t>js/sanctuary/AnuAdaptiveDpr.js</t>
        </is>
      </c>
      <c r="C6" s="5" t="inlineStr">
        <is>
          <t>SUB-04</t>
        </is>
      </c>
      <c r="D6" s="5" t="inlineStr">
        <is>
          <t>Render governance</t>
        </is>
      </c>
      <c r="E6" s="5" t="inlineStr">
        <is>
          <t>Active</t>
        </is>
      </c>
      <c r="F6" s="5" t="n">
        <v>2</v>
      </c>
      <c r="G6" s="5" t="inlineStr">
        <is>
          <t>AnuAdaptiveDpr</t>
        </is>
      </c>
      <c r="H6" s="5" t="inlineStr"/>
      <c r="I6" s="5" t="inlineStr">
        <is>
          <t>AnuAdaptiveDpr — Anu's omnipresent FPS guardian. Per the user's spec: "ANU/World/Animals = controlled by an omnipresent AI that monitors everything, including current FPS. This game must have threshold for 120fps at super high resolutions." What this does: • Watches `FrameBudget.avgMs` every N frames (Anu's own sensor). • If the rolling average drops below a target wall (default 120 FPS → 8.33 ms), Anu scales the renderer's pixel ratio DOWN one step. • If the rolling average comfortably exceeds the target with hysteresis, Anu scales DPR UP one step (capped at the user's device DPR). Why DPR in</t>
        </is>
      </c>
      <c r="J6" s="5" t="inlineStr">
        <is>
          <t>285 lines, 11.5 KB. update() at L225 (50 lines).</t>
        </is>
      </c>
      <c r="K6" s="5" t="inlineStr">
        <is>
          <t>MOD-092, MOD-093, MOD-096, MOD-098, MOD-100</t>
        </is>
      </c>
      <c r="L6" s="5" t="inlineStr"/>
      <c r="M6" s="5" t="inlineStr"/>
      <c r="N6" s="5" t="inlineStr">
        <is>
          <t>AnuUniverse; devicePixelRatio; innerHeight; innerWidth</t>
        </is>
      </c>
      <c r="O6" s="5" t="inlineStr">
        <is>
          <t>RENDERING_DPR_CHANGE</t>
        </is>
      </c>
      <c r="P6" s="5" t="inlineStr"/>
      <c r="Q6" s="5" t="inlineStr"/>
      <c r="R6" s="5" t="inlineStr"/>
      <c r="S6" s="5" t="inlineStr"/>
      <c r="T6" s="5" t="inlineStr"/>
      <c r="U6" s="5" t="inlineStr"/>
      <c r="V6" s="5" t="n">
        <v>5</v>
      </c>
      <c r="W6" s="5" t="inlineStr">
        <is>
          <t>2026-06-01 fix(mobile): stop iOS OOM crash ("Can't open this page") — cap texture memory</t>
        </is>
      </c>
      <c r="X6" s="5" t="inlineStr">
        <is>
          <t>FND-08</t>
        </is>
      </c>
      <c r="Y6" s="6" t="n">
        <v>285</v>
      </c>
    </row>
    <row r="7">
      <c r="A7" s="5" t="inlineStr">
        <is>
          <t>MOD-003</t>
        </is>
      </c>
      <c r="B7" s="5" t="inlineStr">
        <is>
          <t>js/sanctuary/MoldGrowHill.js</t>
        </is>
      </c>
      <c r="C7" s="5" t="inlineStr">
        <is>
          <t>SUB-10</t>
        </is>
      </c>
      <c r="D7" s="5" t="inlineStr">
        <is>
          <t>Structures &amp; village building</t>
        </is>
      </c>
      <c r="E7" s="5" t="inlineStr">
        <is>
          <t>Active</t>
        </is>
      </c>
      <c r="F7" s="5" t="n">
        <v>14</v>
      </c>
      <c r="G7" s="5" t="inlineStr">
        <is>
          <t>MoldGrowHill</t>
        </is>
      </c>
      <c r="H7" s="5" t="inlineStr"/>
      <c r="I7" s="5" t="inlineStr">
        <is>
          <t>Sacred Adventures — sanctuary part 10 of N: MOLD TOOL · GROW HILL. First real handler against the `SanctuaryMutations` registry. When a kid clicks the ground in top-down mode, the input layer publishes a `grow_hill` mutation; THIS module materialises the mesh. Design (Anu's brief — "grow the beautiful hills that will surround our pool and sacred valley so kids can have their digital sanctuary for free"): • Each hill is a low-poly dome (half-sphere with smoothed Z-axis flattening + meadow-coloured material) anchored to the click point on the heightfield. • Radius + height are mild defaults that</t>
        </is>
      </c>
      <c r="J7" s="5" t="inlineStr">
        <is>
          <t>130 lines, 4.8 KB. update() at L121 (0 lines).</t>
        </is>
      </c>
      <c r="K7" s="5" t="inlineStr">
        <is>
          <t>MOD-027, MOD-098</t>
        </is>
      </c>
      <c r="L7" s="5" t="inlineStr"/>
      <c r="M7" s="5" t="inlineStr"/>
      <c r="N7" s="5" t="inlineStr">
        <is>
          <t>SanctuaryMutations</t>
        </is>
      </c>
      <c r="O7" s="5" t="inlineStr"/>
      <c r="P7" s="5" t="inlineStr"/>
      <c r="Q7" s="5" t="inlineStr"/>
      <c r="R7" s="5" t="inlineStr"/>
      <c r="S7" s="5" t="inlineStr"/>
      <c r="T7" s="5" t="inlineStr">
        <is>
          <t>Yes</t>
        </is>
      </c>
      <c r="U7" s="5" t="inlineStr"/>
      <c r="V7" s="5" t="n">
        <v>1</v>
      </c>
      <c r="W7" s="5" t="inlineStr">
        <is>
          <t>2026-05-19 feat(full-session): fishing overhaul, FPS fix, dock elevation, clean world, sanctuary v2</t>
        </is>
      </c>
      <c r="X7" s="5" t="inlineStr"/>
      <c r="Y7" s="6" t="n">
        <v>130</v>
      </c>
    </row>
    <row r="8">
      <c r="A8" s="5" t="inlineStr">
        <is>
          <t>MOD-004</t>
        </is>
      </c>
      <c r="B8" s="5" t="inlineStr">
        <is>
          <t>js/sanctuary/MoldPlaceTipi.js</t>
        </is>
      </c>
      <c r="C8" s="5" t="inlineStr">
        <is>
          <t>SUB-10</t>
        </is>
      </c>
      <c r="D8" s="5" t="inlineStr">
        <is>
          <t>Structures &amp; village building</t>
        </is>
      </c>
      <c r="E8" s="5" t="inlineStr">
        <is>
          <t>Active</t>
        </is>
      </c>
      <c r="F8" s="5" t="n">
        <v>20</v>
      </c>
      <c r="G8" s="5" t="inlineStr">
        <is>
          <t>MoldPlaceTipi</t>
        </is>
      </c>
      <c r="H8" s="5" t="inlineStr"/>
      <c r="I8" s="5" t="inlineStr">
        <is>
          <t>Sacred Adventures — sanctuary mold tool: PLACE TIPI. The first **building** tool. Lets kids drop a small procedural tipi on the ground in top-down mode. Each placed tipi is: • A cone of canvas (taupe-white) covering 12 lashed poles • A small smoke-hole opening at the top (just a tiny dark disc) • A doorway "flap" on the south side (a darker tall rectangle) • Anu STRUCTURES domain, anuKind = `mold_placed_tipi` • Serialised through the registry → restored on reload Geometry per tipi (~280 tris): cone (24-seg) + 12 lashed poles (lightweight cylinders) + doorway plane. Sizing: 3.2 m tall, 1.6 m ba</t>
        </is>
      </c>
      <c r="J8" s="5" t="inlineStr">
        <is>
          <t>156 lines, 5.0 KB. update() at L152 (0 lines).</t>
        </is>
      </c>
      <c r="K8" s="5" t="inlineStr">
        <is>
          <t>MOD-027, MOD-098</t>
        </is>
      </c>
      <c r="L8" s="5" t="inlineStr"/>
      <c r="M8" s="5" t="inlineStr"/>
      <c r="N8" s="5" t="inlineStr">
        <is>
          <t>SanctuaryMutations</t>
        </is>
      </c>
      <c r="O8" s="5" t="inlineStr"/>
      <c r="P8" s="5" t="inlineStr"/>
      <c r="Q8" s="5" t="inlineStr"/>
      <c r="R8" s="5" t="inlineStr"/>
      <c r="S8" s="5" t="inlineStr"/>
      <c r="T8" s="5" t="inlineStr">
        <is>
          <t>Yes</t>
        </is>
      </c>
      <c r="U8" s="5" t="inlineStr"/>
      <c r="V8" s="5" t="n">
        <v>1</v>
      </c>
      <c r="W8" s="5" t="inlineStr">
        <is>
          <t>2026-05-19 feat(full-session): fishing overhaul, FPS fix, dock elevation, clean world, sanctuary v2</t>
        </is>
      </c>
      <c r="X8" s="5" t="inlineStr"/>
      <c r="Y8" s="6" t="n">
        <v>156</v>
      </c>
    </row>
    <row r="9">
      <c r="A9" s="5" t="inlineStr">
        <is>
          <t>MOD-005</t>
        </is>
      </c>
      <c r="B9" s="5" t="inlineStr">
        <is>
          <t>js/sanctuary/MoldPlantBush.js</t>
        </is>
      </c>
      <c r="C9" s="5" t="inlineStr">
        <is>
          <t>SUB-10</t>
        </is>
      </c>
      <c r="D9" s="5" t="inlineStr">
        <is>
          <t>Structures &amp; village building</t>
        </is>
      </c>
      <c r="E9" s="5" t="inlineStr">
        <is>
          <t>Active</t>
        </is>
      </c>
      <c r="F9" s="5" t="n">
        <v>17</v>
      </c>
      <c r="G9" s="5" t="inlineStr">
        <is>
          <t>MoldPlantBush</t>
        </is>
      </c>
      <c r="H9" s="5" t="inlineStr"/>
      <c r="I9" s="5" t="inlineStr">
        <is>
          <t>Mold tool — PLANT BUSH. Each kid-placed bush is a small clump of 3-5 overlapping low-poly spheres painted leafy green with slight per-lump hue variation. Optional berry dots randomly added so some bushes carry colour. ~80 tris/bush.</t>
        </is>
      </c>
      <c r="J9" s="5" t="inlineStr">
        <is>
          <t>142 lines, 4.3 KB. update() at L138 (0 lines).</t>
        </is>
      </c>
      <c r="K9" s="5" t="inlineStr">
        <is>
          <t>MOD-027, MOD-098</t>
        </is>
      </c>
      <c r="L9" s="5" t="inlineStr"/>
      <c r="M9" s="5" t="inlineStr"/>
      <c r="N9" s="5" t="inlineStr">
        <is>
          <t>SanctuaryMutations</t>
        </is>
      </c>
      <c r="O9" s="5" t="inlineStr"/>
      <c r="P9" s="5" t="inlineStr"/>
      <c r="Q9" s="5" t="inlineStr"/>
      <c r="R9" s="5" t="inlineStr"/>
      <c r="S9" s="5" t="inlineStr"/>
      <c r="T9" s="5" t="inlineStr">
        <is>
          <t>Yes</t>
        </is>
      </c>
      <c r="U9" s="5" t="inlineStr"/>
      <c r="V9" s="5" t="n">
        <v>1</v>
      </c>
      <c r="W9" s="5" t="inlineStr">
        <is>
          <t>2026-05-19 feat(full-session): fishing overhaul, FPS fix, dock elevation, clean world, sanctuary v2</t>
        </is>
      </c>
      <c r="X9" s="5" t="inlineStr"/>
      <c r="Y9" s="6" t="n">
        <v>142</v>
      </c>
    </row>
    <row r="10">
      <c r="A10" s="5" t="inlineStr">
        <is>
          <t>MOD-006</t>
        </is>
      </c>
      <c r="B10" s="5" t="inlineStr">
        <is>
          <t>js/sanctuary/MoldPlantFlower.js</t>
        </is>
      </c>
      <c r="C10" s="5" t="inlineStr">
        <is>
          <t>SUB-10</t>
        </is>
      </c>
      <c r="D10" s="5" t="inlineStr">
        <is>
          <t>Structures &amp; village building</t>
        </is>
      </c>
      <c r="E10" s="5" t="inlineStr">
        <is>
          <t>Active</t>
        </is>
      </c>
      <c r="F10" s="5" t="n">
        <v>16</v>
      </c>
      <c r="G10" s="5" t="inlineStr">
        <is>
          <t>MoldPlantFlower</t>
        </is>
      </c>
      <c r="H10" s="5" t="inlineStr"/>
      <c r="I10" s="5" t="inlineStr">
        <is>
          <t>Sacred Adventures — sanctuary mold tool: PLANT FLOWER. Registers a `plant_flower` handler. Each click drops a small flower cluster (3-5 flowers in a single random colour) at the click point — same shape as the SanctuaryFlora baseline clusters but with the kid's agency stamped on it. Geometry per cluster (~50 tris). Mutation registry serialises the (x, z, colourHex) tuple so SAVE → reload reproduces the exact same colour.</t>
        </is>
      </c>
      <c r="J10" s="5" t="inlineStr">
        <is>
          <t>120 lines, 4.0 KB. update() at L116 (0 lines).</t>
        </is>
      </c>
      <c r="K10" s="5" t="inlineStr">
        <is>
          <t>MOD-027, MOD-098</t>
        </is>
      </c>
      <c r="L10" s="5" t="inlineStr"/>
      <c r="M10" s="5" t="inlineStr"/>
      <c r="N10" s="5" t="inlineStr">
        <is>
          <t>SanctuaryMutations</t>
        </is>
      </c>
      <c r="O10" s="5" t="inlineStr"/>
      <c r="P10" s="5" t="inlineStr"/>
      <c r="Q10" s="5" t="inlineStr"/>
      <c r="R10" s="5" t="inlineStr"/>
      <c r="S10" s="5" t="inlineStr"/>
      <c r="T10" s="5" t="inlineStr">
        <is>
          <t>Yes</t>
        </is>
      </c>
      <c r="U10" s="5" t="inlineStr"/>
      <c r="V10" s="5" t="n">
        <v>1</v>
      </c>
      <c r="W10" s="5" t="inlineStr">
        <is>
          <t>2026-05-19 feat(full-session): fishing overhaul, FPS fix, dock elevation, clean world, sanctuary v2</t>
        </is>
      </c>
      <c r="X10" s="5" t="inlineStr"/>
      <c r="Y10" s="6" t="n">
        <v>120</v>
      </c>
    </row>
    <row r="11">
      <c r="A11" s="5" t="inlineStr">
        <is>
          <t>MOD-007</t>
        </is>
      </c>
      <c r="B11" s="5" t="inlineStr">
        <is>
          <t>js/sanctuary/MoldPlantLily.js</t>
        </is>
      </c>
      <c r="C11" s="5" t="inlineStr">
        <is>
          <t>SUB-10</t>
        </is>
      </c>
      <c r="D11" s="5" t="inlineStr">
        <is>
          <t>Structures &amp; village building</t>
        </is>
      </c>
      <c r="E11" s="5" t="inlineStr">
        <is>
          <t>Active</t>
        </is>
      </c>
      <c r="F11" s="5" t="n">
        <v>18</v>
      </c>
      <c r="G11" s="5" t="inlineStr">
        <is>
          <t>MoldPlantLily</t>
        </is>
      </c>
      <c r="H11" s="5" t="inlineStr">
        <is>
          <t>ENVIRONMENT</t>
        </is>
      </c>
      <c r="I11" s="5" t="inlineStr">
        <is>
          <t>Mold tool — PLANT LILY. Drops one lily pad (with a small chance of a gold flower) on the pool surface at the click point. If the click is OUTSIDE the pool radius, the mutation is rejected silently (the pad needs water to float on). Anu domain: ENVIRONMENT (decorative water-surface decoration, same as the baseline lily pads in SanctuaryPool).</t>
        </is>
      </c>
      <c r="J11" s="5" t="inlineStr">
        <is>
          <t>135 lines, 4.1 KB. update() at L131 (0 lines).</t>
        </is>
      </c>
      <c r="K11" s="5" t="inlineStr">
        <is>
          <t>MOD-027, MOD-098</t>
        </is>
      </c>
      <c r="L11" s="5" t="inlineStr"/>
      <c r="M11" s="5" t="inlineStr"/>
      <c r="N11" s="5" t="inlineStr">
        <is>
          <t>SanctuaryMutations; __sanctuaryWaterY; sanctuaryPulse</t>
        </is>
      </c>
      <c r="O11" s="5" t="inlineStr"/>
      <c r="P11" s="5" t="inlineStr"/>
      <c r="Q11" s="5" t="inlineStr"/>
      <c r="R11" s="5" t="inlineStr"/>
      <c r="S11" s="5" t="inlineStr"/>
      <c r="T11" s="5" t="inlineStr">
        <is>
          <t>Yes</t>
        </is>
      </c>
      <c r="U11" s="5" t="inlineStr"/>
      <c r="V11" s="5" t="n">
        <v>1</v>
      </c>
      <c r="W11" s="5" t="inlineStr">
        <is>
          <t>2026-05-19 feat(full-session): fishing overhaul, FPS fix, dock elevation, clean world, sanctuary v2</t>
        </is>
      </c>
      <c r="X11" s="5" t="inlineStr"/>
      <c r="Y11" s="6" t="n">
        <v>135</v>
      </c>
    </row>
    <row r="12">
      <c r="A12" s="5" t="inlineStr">
        <is>
          <t>MOD-008</t>
        </is>
      </c>
      <c r="B12" s="5" t="inlineStr">
        <is>
          <t>js/sanctuary/MoldPlantRock.js</t>
        </is>
      </c>
      <c r="C12" s="5" t="inlineStr">
        <is>
          <t>SUB-10</t>
        </is>
      </c>
      <c r="D12" s="5" t="inlineStr">
        <is>
          <t>Structures &amp; village building</t>
        </is>
      </c>
      <c r="E12" s="5" t="inlineStr">
        <is>
          <t>Active</t>
        </is>
      </c>
      <c r="F12" s="5" t="n">
        <v>19</v>
      </c>
      <c r="G12" s="5" t="inlineStr">
        <is>
          <t>MoldPlantRock</t>
        </is>
      </c>
      <c r="H12" s="5" t="inlineStr"/>
      <c r="I12" s="5" t="inlineStr">
        <is>
          <t>Mold tool — PLANT ROCK. Drops a small cluster of stones at the click point — 2-4 low-poly icosahedra in slate-grey tones, varied scale + yaw so each pile reads unique. ~40 tris per pile.</t>
        </is>
      </c>
      <c r="J12" s="5" t="inlineStr">
        <is>
          <t>92 lines, 2.8 KB. update() at L88 (0 lines).</t>
        </is>
      </c>
      <c r="K12" s="5" t="inlineStr">
        <is>
          <t>MOD-027, MOD-098</t>
        </is>
      </c>
      <c r="L12" s="5" t="inlineStr"/>
      <c r="M12" s="5" t="inlineStr"/>
      <c r="N12" s="5" t="inlineStr">
        <is>
          <t>SanctuaryMutations</t>
        </is>
      </c>
      <c r="O12" s="5" t="inlineStr"/>
      <c r="P12" s="5" t="inlineStr"/>
      <c r="Q12" s="5" t="inlineStr"/>
      <c r="R12" s="5" t="inlineStr"/>
      <c r="S12" s="5" t="inlineStr"/>
      <c r="T12" s="5" t="inlineStr">
        <is>
          <t>Yes</t>
        </is>
      </c>
      <c r="U12" s="5" t="inlineStr"/>
      <c r="V12" s="5" t="n">
        <v>1</v>
      </c>
      <c r="W12" s="5" t="inlineStr">
        <is>
          <t>2026-05-19 feat(full-session): fishing overhaul, FPS fix, dock elevation, clean world, sanctuary v2</t>
        </is>
      </c>
      <c r="X12" s="5" t="inlineStr"/>
      <c r="Y12" s="6" t="n">
        <v>92</v>
      </c>
    </row>
    <row r="13">
      <c r="A13" s="5" t="inlineStr">
        <is>
          <t>MOD-009</t>
        </is>
      </c>
      <c r="B13" s="5" t="inlineStr">
        <is>
          <t>js/sanctuary/MoldPlantTree.js</t>
        </is>
      </c>
      <c r="C13" s="5" t="inlineStr">
        <is>
          <t>SUB-10</t>
        </is>
      </c>
      <c r="D13" s="5" t="inlineStr">
        <is>
          <t>Structures &amp; village building</t>
        </is>
      </c>
      <c r="E13" s="5" t="inlineStr">
        <is>
          <t>Active</t>
        </is>
      </c>
      <c r="F13" s="5" t="n">
        <v>15</v>
      </c>
      <c r="G13" s="5" t="inlineStr">
        <is>
          <t>MoldPlantTree</t>
        </is>
      </c>
      <c r="H13" s="5" t="inlineStr"/>
      <c r="I13" s="5" t="inlineStr">
        <is>
          <t xml:space="preserve">Sacred Adventures — sanctuary mold tool: PLANT TREE. Registers a `plant_tree` handler against the SanctuaryMutations registry. When a kid clicks the ground in top-down mode with the plant_tree tool armed, a low-poly conifer drops in there. Anu domain on the spawned mesh: FLORA. Each tree is INTERACTABLE with verb `harvest` so Anu's vocabulary (which already names harvest as a verb) finally has something to act on. Geometry per tree (~120 tris): • Trunk — short tapered cylinder (8 segments). • Crown — three stacked cones with decreasing radius, slight random Y-jitter per cone so the silhouette </t>
        </is>
      </c>
      <c r="J13" s="5" t="inlineStr">
        <is>
          <t>129 lines, 4.3 KB. update() at L125 (0 lines).</t>
        </is>
      </c>
      <c r="K13" s="5" t="inlineStr">
        <is>
          <t>MOD-027, MOD-098</t>
        </is>
      </c>
      <c r="L13" s="5" t="inlineStr"/>
      <c r="M13" s="5" t="inlineStr"/>
      <c r="N13" s="5" t="inlineStr">
        <is>
          <t>SanctuaryMutations</t>
        </is>
      </c>
      <c r="O13" s="5" t="inlineStr"/>
      <c r="P13" s="5" t="inlineStr"/>
      <c r="Q13" s="5" t="inlineStr"/>
      <c r="R13" s="5" t="inlineStr"/>
      <c r="S13" s="5" t="inlineStr"/>
      <c r="T13" s="5" t="inlineStr">
        <is>
          <t>Yes</t>
        </is>
      </c>
      <c r="U13" s="5" t="inlineStr"/>
      <c r="V13" s="5" t="n">
        <v>1</v>
      </c>
      <c r="W13" s="5" t="inlineStr">
        <is>
          <t>2026-05-19 feat(full-session): fishing overhaul, FPS fix, dock elevation, clean world, sanctuary v2</t>
        </is>
      </c>
      <c r="X13" s="5" t="inlineStr"/>
      <c r="Y13" s="6" t="n">
        <v>129</v>
      </c>
    </row>
    <row r="14">
      <c r="A14" s="5" t="inlineStr">
        <is>
          <t>MOD-010</t>
        </is>
      </c>
      <c r="B14" s="5" t="inlineStr">
        <is>
          <t>js/sanctuary/SanctuaryAmbient.js</t>
        </is>
      </c>
      <c r="C14" s="5" t="inlineStr">
        <is>
          <t>SUB-06</t>
        </is>
      </c>
      <c r="D14" s="5" t="inlineStr">
        <is>
          <t>World environment</t>
        </is>
      </c>
      <c r="E14" s="5" t="inlineStr">
        <is>
          <t>Active</t>
        </is>
      </c>
      <c r="F14" s="5" t="n">
        <v>35</v>
      </c>
      <c r="G14" s="5" t="inlineStr">
        <is>
          <t>SanctuaryAmbient</t>
        </is>
      </c>
      <c r="H14" s="5" t="inlineStr">
        <is>
          <t>ENVIRONMENT</t>
        </is>
      </c>
      <c r="I14" s="5" t="inlineStr">
        <is>
          <t>Sacred Adventures — sanctuary part 27 of N: AMBIENT SOUND. Anu domain: ENVIRONMENT (the atmosphere bodies obey, audible side). Procedural ambient — entirely Web Audio, no .mp3 files. Three layers crossfade in once the AudioContext unlocks (browsers gate WebAudio behind user interaction; we wait for first click/keypress + then resume the context): 1. WIND — filtered pink noise modulated by a slow LFO. The "valley breeze" undercurrent. 2. WATER LAPPING — band-pass filtered white noise + low LFO, pulses the lapping rhythm. Volume scales with proximity to the pool (within 18 m = full). 3. BIRDSONG</t>
        </is>
      </c>
      <c r="J14" s="5" t="inlineStr">
        <is>
          <t>254 lines, 8.5 KB. update() at L219 (12 lines). Writes 1 globals.</t>
        </is>
      </c>
      <c r="K14" s="5" t="inlineStr">
        <is>
          <t>MOD-098</t>
        </is>
      </c>
      <c r="L14" s="5" t="inlineStr"/>
      <c r="M14" s="5" t="inlineStr">
        <is>
          <t>__sanctuaryMuted</t>
        </is>
      </c>
      <c r="N14" s="5" t="inlineStr">
        <is>
          <t>AudioContext; __sanctuaryAvatar; addEventListener; removeEventListener; webkitAudioContext</t>
        </is>
      </c>
      <c r="O14" s="5" t="inlineStr"/>
      <c r="P14" s="5" t="inlineStr"/>
      <c r="Q14" s="5" t="inlineStr"/>
      <c r="R14" s="5" t="inlineStr"/>
      <c r="S14" s="5" t="inlineStr"/>
      <c r="T14" s="5" t="inlineStr">
        <is>
          <t>Yes</t>
        </is>
      </c>
      <c r="U14" s="5" t="inlineStr"/>
      <c r="V14" s="5" t="n">
        <v>2</v>
      </c>
      <c r="W14" s="5" t="inlineStr">
        <is>
          <t>2026-05-29 feat(sanctuary): center-screen responsive welcome guide, organic shore, and mossy boulders</t>
        </is>
      </c>
      <c r="X14" s="5" t="inlineStr"/>
      <c r="Y14" s="6" t="n">
        <v>254</v>
      </c>
    </row>
    <row r="15">
      <c r="A15" s="5" t="inlineStr">
        <is>
          <t>MOD-011</t>
        </is>
      </c>
      <c r="B15" s="5" t="inlineStr">
        <is>
          <t>js/sanctuary/SanctuaryAvatar.js</t>
        </is>
      </c>
      <c r="C15" s="5" t="inlineStr">
        <is>
          <t>SUB-08</t>
        </is>
      </c>
      <c r="D15" s="5" t="inlineStr">
        <is>
          <t>Player</t>
        </is>
      </c>
      <c r="E15" s="5" t="inlineStr">
        <is>
          <t>Active</t>
        </is>
      </c>
      <c r="F15" s="5" t="n">
        <v>8</v>
      </c>
      <c r="G15" s="5" t="inlineStr">
        <is>
          <t>SanctuaryAvatar</t>
        </is>
      </c>
      <c r="H15" s="5" t="inlineStr">
        <is>
          <t>PLAYER</t>
        </is>
      </c>
      <c r="I15" s="5" t="inlineStr">
        <is>
          <t>Sacred Adventures — sanctuary part 7 of N: AVATAR. Loads `Assets/Avatar3.glb` (Draco-compressed + decimated to ~205 k tris in the May-17 simplify pass) and plants it on the sanctuary ground. Anu domain: PLAYER (the witness body). Anti-transparency treatment per user spec ("try best not to allow it to have any transparencies across its entire mesh and fill in any gaps in it with skin color filler"): 1. Every material on the rig is forced opaque: transparent = false opacity = 1.0 alphaTest = 0 depthWrite = true This kills the most common Tripo-GLB face-transparency artifact where alpha-test frag</t>
        </is>
      </c>
      <c r="J15" s="5" t="inlineStr">
        <is>
          <t>729 lines, 30.4 KB. update() at L558 (147 lines). Per-frame hazards: alloc_three×4, matrix_update×4. Writes 2 globals.</t>
        </is>
      </c>
      <c r="K15" s="5" t="inlineStr">
        <is>
          <t>MOD-027, MOD-041, MOD-098, MOD-103, MOD-104</t>
        </is>
      </c>
      <c r="L15" s="5" t="inlineStr"/>
      <c r="M15" s="5" t="inlineStr">
        <is>
          <t>__sanctuaryAvatar; __sanctuaryPlayerYaw</t>
        </is>
      </c>
      <c r="N15" s="5" t="inlineStr">
        <is>
          <t>__sanctuaryDockSurface; __sanctuaryFishingActive; __sanctuaryWaterY; localStorage; location</t>
        </is>
      </c>
      <c r="O15" s="5" t="inlineStr"/>
      <c r="P15" s="5" t="inlineStr"/>
      <c r="Q15" s="5" t="inlineStr"/>
      <c r="R15" s="5" t="inlineStr"/>
      <c r="S15" s="5" t="inlineStr">
        <is>
          <t>Assets/Avatar3.glb; Assets/npc/Avatar-New.glb</t>
        </is>
      </c>
      <c r="T15" s="5" t="inlineStr"/>
      <c r="U15" s="5" t="inlineStr"/>
      <c r="V15" s="5" t="n">
        <v>17</v>
      </c>
      <c r="W15" s="5" t="inlineStr">
        <is>
          <t>2026-05-30 feat(fishing): two-handed hand-line to left hand + calm the rod motion</t>
        </is>
      </c>
      <c r="X15" s="5" t="inlineStr">
        <is>
          <t>FND-17, FND-29</t>
        </is>
      </c>
      <c r="Y15" s="6" t="n">
        <v>729</v>
      </c>
    </row>
    <row r="16">
      <c r="A16" s="5" t="inlineStr">
        <is>
          <t>MOD-012</t>
        </is>
      </c>
      <c r="B16" s="5" t="inlineStr">
        <is>
          <t>js/sanctuary/SanctuaryBraziers.js</t>
        </is>
      </c>
      <c r="C16" s="5" t="inlineStr">
        <is>
          <t>SUB-10</t>
        </is>
      </c>
      <c r="D16" s="5" t="inlineStr">
        <is>
          <t>Structures &amp; village building</t>
        </is>
      </c>
      <c r="E16" s="5" t="inlineStr">
        <is>
          <t>Active</t>
        </is>
      </c>
      <c r="F16" s="5" t="n">
        <v>30</v>
      </c>
      <c r="G16" s="5" t="inlineStr">
        <is>
          <t>SanctuaryBraziers</t>
        </is>
      </c>
      <c r="H16" s="5" t="inlineStr">
        <is>
          <t>STRUCTURES</t>
        </is>
      </c>
      <c r="I16" s="5" t="inlineStr">
        <is>
          <t xml:space="preserve">Sacred Adventures — sanctuary part 30 of N: TIPI BRAZIERS. Anu domain: STRUCTURES (the stone bowl) + ENVIRONMENT (fire + smoke). One brazier sits in front of each tipi. **Perf rewrite (May-18 2026):** • Smoke is now ONE `THREE.Points` cloud per brazier instead of 28 individual sprites. Drops 28 draw calls per brazier (so 56 across both). Visual identical — Points + a soft canvas alpha mask reads as smoke at the camera distance kids will see it. • The PointLight is **night-only**. During the day the brazier's additive fire sprites are bright enough to read as fire; the extra dynamic light just </t>
        </is>
      </c>
      <c r="J16" s="5" t="inlineStr">
        <is>
          <t>400 lines, 13.4 KB. update() at L335 (46 lines). Writes 1 globals.</t>
        </is>
      </c>
      <c r="K16" s="5" t="inlineStr">
        <is>
          <t>MOD-027, MOD-098</t>
        </is>
      </c>
      <c r="L16" s="5" t="inlineStr"/>
      <c r="M16" s="5" t="inlineStr">
        <is>
          <t>__regenerateBraziers</t>
        </is>
      </c>
      <c r="N16" s="5" t="inlineStr">
        <is>
          <t>__sanctuaryMapType; __sanctuaryTipi1Anchor; __sanctuaryTipi1Yaw; __sanctuaryTipi2Anchor; __sanctuaryTipi2Yaw; __sanctuaryTipi3Anchor; __sanctuaryTipi3Yaw; __sanctuaryTipi4Anchor; __sanctuaryTipi4Yaw; addEventListener; removeEventListener</t>
        </is>
      </c>
      <c r="O16" s="5" t="inlineStr"/>
      <c r="P16" s="5" t="inlineStr"/>
      <c r="Q16" s="5" t="inlineStr"/>
      <c r="R16" s="5" t="inlineStr"/>
      <c r="S16" s="5" t="inlineStr"/>
      <c r="T16" s="5" t="inlineStr">
        <is>
          <t>Yes</t>
        </is>
      </c>
      <c r="U16" s="5" t="inlineStr"/>
      <c r="V16" s="5" t="n">
        <v>2</v>
      </c>
      <c r="W16" s="5" t="inlineStr">
        <is>
          <t>2026-05-29 feat(sanctuary): center-screen responsive welcome guide, organic shore, and mossy boulders</t>
        </is>
      </c>
      <c r="X16" s="5" t="inlineStr"/>
      <c r="Y16" s="6" t="n">
        <v>400</v>
      </c>
    </row>
    <row r="17">
      <c r="A17" s="5" t="inlineStr">
        <is>
          <t>MOD-013</t>
        </is>
      </c>
      <c r="B17" s="5" t="inlineStr">
        <is>
          <t>js/sanctuary/SanctuaryButterflies.js</t>
        </is>
      </c>
      <c r="C17" s="5" t="inlineStr">
        <is>
          <t>SUB-07</t>
        </is>
      </c>
      <c r="D17" s="5" t="inlineStr">
        <is>
          <t>Fauna</t>
        </is>
      </c>
      <c r="E17" s="5" t="inlineStr">
        <is>
          <t>Active</t>
        </is>
      </c>
      <c r="F17" s="5" t="n">
        <v>21</v>
      </c>
      <c r="G17" s="5" t="inlineStr">
        <is>
          <t>SanctuaryButterflies</t>
        </is>
      </c>
      <c r="H17" s="5" t="inlineStr">
        <is>
          <t>FAUNA</t>
        </is>
      </c>
      <c r="I17" s="5" t="inlineStr">
        <is>
          <t>Sacred Adventures — sanctuary part 17 of N: BUTTERFLIES. Anu domain: FAUNA. **May-18 2026 rewrite:** all butterflies are YELLOW now, they live at Tipi 1 (Yellow Butterfly's tipi — hence the name), and every 5 minutes they perform a sacred ritual: • IDLE — drift in a loose cloud around Tipi 1. • SUMMON (every 5 min, first at +5 s) — every butterfly flies to a slot on a circle around YB (the seated NPC on Tipi 1's deck). A radial light bloom fades in at the centre, ramping for 1.5 s. • HOLD — the circle holds for ~6 s, bloom at full strength. • DISPERSE — bloom fades out, butterflies fan back to</t>
        </is>
      </c>
      <c r="J17" s="5" t="inlineStr">
        <is>
          <t>436 lines, 15.5 KB. update() at L322 (98 lines).</t>
        </is>
      </c>
      <c r="K17" s="5" t="inlineStr">
        <is>
          <t>MOD-027, MOD-092, MOD-098</t>
        </is>
      </c>
      <c r="L17" s="5" t="inlineStr"/>
      <c r="M17" s="5" t="inlineStr"/>
      <c r="N17" s="5" t="inlineStr">
        <is>
          <t>__sanctuaryTipi1Anchor</t>
        </is>
      </c>
      <c r="O17" s="5" t="inlineStr"/>
      <c r="P17" s="5" t="inlineStr"/>
      <c r="Q17" s="5" t="inlineStr"/>
      <c r="R17" s="5" t="inlineStr"/>
      <c r="S17" s="5" t="inlineStr"/>
      <c r="T17" s="5" t="inlineStr">
        <is>
          <t>Yes</t>
        </is>
      </c>
      <c r="U17" s="5" t="inlineStr"/>
      <c r="V17" s="5" t="n">
        <v>4</v>
      </c>
      <c r="W17" s="5" t="inlineStr">
        <is>
          <t>2026-05-26 feat(perf): prioritize pipeline traffic via adaptive shadow scheduling and dynamic stride sampling for lesser priorities under stress</t>
        </is>
      </c>
      <c r="X17" s="5" t="inlineStr"/>
      <c r="Y17" s="6" t="n">
        <v>436</v>
      </c>
    </row>
    <row r="18">
      <c r="A18" s="5" t="inlineStr">
        <is>
          <t>MOD-014</t>
        </is>
      </c>
      <c r="B18" s="5" t="inlineStr">
        <is>
          <t>js/sanctuary/SanctuaryCircles.js</t>
        </is>
      </c>
      <c r="C18" s="5" t="inlineStr">
        <is>
          <t>SUB-06</t>
        </is>
      </c>
      <c r="D18" s="5" t="inlineStr">
        <is>
          <t>World environment</t>
        </is>
      </c>
      <c r="E18" s="5" t="inlineStr">
        <is>
          <t>Active</t>
        </is>
      </c>
      <c r="F18" s="5" t="n">
        <v>7</v>
      </c>
      <c r="G18" s="5" t="inlineStr">
        <is>
          <t>SanctuaryCircles</t>
        </is>
      </c>
      <c r="H18" s="5" t="inlineStr">
        <is>
          <t>ENVIRONMENT</t>
        </is>
      </c>
      <c r="I18" s="5" t="inlineStr">
        <is>
          <t>Sacred Adventures — sanctuary part 5 of 5: THE 3D CIRCLES. Three concentric circle systems that read as guiding light on the sanctuary surfaces. Anu domain: ENVIRONMENT (decorative/UX effects, not buildings). 1. Fishing-spot ring — gold double-ring on the dock end-cap, the "stand here to fish" affordance. Animated slow rotation + gentle radial pulse so the eye lands on it from any distance. 2. Pool perimeter ring — soft cyan ring just inside the water rim, tracing the pool shape. Reads as moonlight kissing the waterline; gives the pool a visible "edge of the sanctuary" feel. 3. Fish-bite rippl</t>
        </is>
      </c>
      <c r="J18" s="5" t="inlineStr">
        <is>
          <t>303 lines, 11.0 KB. update() at L234 (48 lines). Writes 1 globals.</t>
        </is>
      </c>
      <c r="K18" s="5" t="inlineStr">
        <is>
          <t>MOD-027, MOD-098</t>
        </is>
      </c>
      <c r="L18" s="5" t="inlineStr"/>
      <c r="M18" s="5" t="inlineStr">
        <is>
          <t>sanctuaryPulse</t>
        </is>
      </c>
      <c r="N18" s="5" t="inlineStr">
        <is>
          <t>__sanctuaryFishingSpot; __sanctuaryWaterY</t>
        </is>
      </c>
      <c r="O18" s="5" t="inlineStr"/>
      <c r="P18" s="5" t="inlineStr"/>
      <c r="Q18" s="5" t="inlineStr"/>
      <c r="R18" s="5" t="inlineStr"/>
      <c r="S18" s="5" t="inlineStr"/>
      <c r="T18" s="5" t="inlineStr"/>
      <c r="U18" s="5" t="inlineStr"/>
      <c r="V18" s="5" t="n">
        <v>8</v>
      </c>
      <c r="W18" s="5" t="inlineStr">
        <is>
          <t>2026-05-29 Revert "feat(pool): elliptical diagonal pool stretched 2x NE + blue fishing spot circle"</t>
        </is>
      </c>
      <c r="X18" s="5" t="inlineStr">
        <is>
          <t>FND-37</t>
        </is>
      </c>
      <c r="Y18" s="6" t="n">
        <v>303</v>
      </c>
    </row>
    <row r="19">
      <c r="A19" s="5" t="inlineStr">
        <is>
          <t>MOD-015</t>
        </is>
      </c>
      <c r="B19" s="5" t="inlineStr">
        <is>
          <t>js/sanctuary/SanctuaryClickToMove.js</t>
        </is>
      </c>
      <c r="C19" s="5" t="inlineStr">
        <is>
          <t>SUB-08</t>
        </is>
      </c>
      <c r="D19" s="5" t="inlineStr">
        <is>
          <t>Player</t>
        </is>
      </c>
      <c r="E19" s="5" t="inlineStr">
        <is>
          <t>Active</t>
        </is>
      </c>
      <c r="F19" s="5" t="n">
        <v>9</v>
      </c>
      <c r="G19" s="5" t="inlineStr">
        <is>
          <t>SanctuaryClickToMove</t>
        </is>
      </c>
      <c r="H19" s="5" t="inlineStr">
        <is>
          <t>PLAYER</t>
        </is>
      </c>
      <c r="I19" s="5" t="inlineStr">
        <is>
          <t>Sacred Adventures — sanctuary part 6 of N: CLICK-TO-MOVE + KID FOOTPRINTS. Anu domain: PLAYER (the witness point — input + intent + body). What it does: • Listens for left-click on the main canvas, raycasts against the sanctuary terrain to find a (x, z) goal, and sets it as the smart-path target. • Walks the player smoothly toward the target each frame, snapping yaw so the avatar faces forward along the path. • Lays down a trail of cute kid footprints — wide chubby toes, soft short heels, slightly bigger than scale would normally suggest so they read as charming, not technical — starting a few</t>
        </is>
      </c>
      <c r="J19" s="5" t="inlineStr">
        <is>
          <t>558 lines, 21.3 KB. update() at L412 (72 lines). Writes 4 globals.</t>
        </is>
      </c>
      <c r="K19" s="5" t="inlineStr">
        <is>
          <t>MOD-027, MOD-098</t>
        </is>
      </c>
      <c r="L19" s="5" t="inlineStr">
        <is>
          <t>MOD-031</t>
        </is>
      </c>
      <c r="M19" s="5" t="inlineStr">
        <is>
          <t>__sanctuaryPlayerYaw; _v4CancelClickToMove; _v4SmartWalkTo; _v4WalkTo</t>
        </is>
      </c>
      <c r="N19" s="5" t="inlineStr">
        <is>
          <t>SanctuaryMutations; __sanctuaryAvatar; __sanctuaryDockExtents; __sanctuaryDockSurface; __sanctuaryMoldTool; _v2InputSuppressed</t>
        </is>
      </c>
      <c r="O19" s="5" t="inlineStr"/>
      <c r="P19" s="5" t="inlineStr"/>
      <c r="Q19" s="5" t="inlineStr"/>
      <c r="R19" s="5" t="inlineStr"/>
      <c r="S19" s="5" t="inlineStr"/>
      <c r="T19" s="5" t="inlineStr">
        <is>
          <t>Yes</t>
        </is>
      </c>
      <c r="U19" s="5" t="inlineStr"/>
      <c r="V19" s="5" t="n">
        <v>11</v>
      </c>
      <c r="W19" s="5" t="inlineStr">
        <is>
          <t>2026-05-29 feat(sanctuary): center-screen responsive welcome guide, organic shore, and mossy boulders</t>
        </is>
      </c>
      <c r="X19" s="5" t="inlineStr"/>
      <c r="Y19" s="6" t="n">
        <v>558</v>
      </c>
    </row>
    <row r="20">
      <c r="A20" s="5" t="inlineStr">
        <is>
          <t>MOD-016</t>
        </is>
      </c>
      <c r="B20" s="5" t="inlineStr">
        <is>
          <t>js/sanctuary/SanctuaryControls.js</t>
        </is>
      </c>
      <c r="C20" s="5" t="inlineStr">
        <is>
          <t>SUB-12</t>
        </is>
      </c>
      <c r="D20" s="5" t="inlineStr">
        <is>
          <t>Items &amp; save</t>
        </is>
      </c>
      <c r="E20" s="5" t="inlineStr">
        <is>
          <t>Active</t>
        </is>
      </c>
      <c r="F20" s="5" t="n">
        <v>32</v>
      </c>
      <c r="G20" s="5" t="inlineStr">
        <is>
          <t>SanctuaryControls</t>
        </is>
      </c>
      <c r="H20" s="5" t="inlineStr">
        <is>
          <t>PLAYER</t>
        </is>
      </c>
      <c r="I20" s="5" t="inlineStr">
        <is>
          <t>Sacred Adventures — sanctuary part 8 of N: PLAYER CONTROLS UI. Bottom-of-viewport control bar for the kids who'll mold this world: ┌──────────────────────────────────────────────────────┐ │ [ 🌍 TOP-DOWN ] │ │ [ RESET ] [ SAVE ] │ └──────────────────────────────────────────────────────┘ (centred, bottom of viewport) • TOP-DOWN button — toggles top-down map view via the PIP swap (same plumbing the v2 PIP canvas uses; when swapped the main canvas shows top-down, PIP shows the chase view). • RESET button — opens a "Are you sure?" modal that, on confirm, wipes localStorage mold state + tells the Wo</t>
        </is>
      </c>
      <c r="J20" s="5" t="inlineStr">
        <is>
          <t>373 lines, 13.8 KB. update() at L357 (0 lines). Writes 2 globals.</t>
        </is>
      </c>
      <c r="K20" s="5" t="inlineStr">
        <is>
          <t>MOD-093, MOD-098, MOD-100</t>
        </is>
      </c>
      <c r="L20" s="5" t="inlineStr"/>
      <c r="M20" s="5" t="inlineStr">
        <is>
          <t>__sanctuaryMoldTool; _v4ToggleTopDown</t>
        </is>
      </c>
      <c r="N20" s="5" t="inlineStr">
        <is>
          <t>SanctuaryMutations; __sanctuaryTopDownHeight; _v4ToggleJournal; _v4TogglePanel; localStorage</t>
        </is>
      </c>
      <c r="O20" s="5" t="inlineStr">
        <is>
          <t>SANCTUARY_WORLD_STATE</t>
        </is>
      </c>
      <c r="P20" s="5" t="inlineStr"/>
      <c r="Q20" s="5" t="inlineStr"/>
      <c r="R20" s="5" t="inlineStr"/>
      <c r="S20" s="5" t="inlineStr"/>
      <c r="T20" s="5" t="inlineStr"/>
      <c r="U20" s="5" t="inlineStr"/>
      <c r="V20" s="5" t="n">
        <v>4</v>
      </c>
      <c r="W20" s="5" t="inlineStr">
        <is>
          <t>2026-05-28 refactor(pip): remove SVG moondial iframe, render top-down PIP canvas in wrapper</t>
        </is>
      </c>
      <c r="X20" s="5" t="inlineStr"/>
      <c r="Y20" s="6" t="n">
        <v>373</v>
      </c>
    </row>
    <row r="21">
      <c r="A21" s="5" t="inlineStr">
        <is>
          <t>MOD-017</t>
        </is>
      </c>
      <c r="B21" s="5" t="inlineStr">
        <is>
          <t>js/sanctuary/SanctuaryCursor.js</t>
        </is>
      </c>
      <c r="C21" s="5" t="inlineStr">
        <is>
          <t>SUB-08</t>
        </is>
      </c>
      <c r="D21" s="5" t="inlineStr">
        <is>
          <t>Player</t>
        </is>
      </c>
      <c r="E21" s="5" t="inlineStr">
        <is>
          <t>Active</t>
        </is>
      </c>
      <c r="F21" s="5" t="n">
        <v>34</v>
      </c>
      <c r="G21" s="5" t="inlineStr">
        <is>
          <t>SanctuaryCursor</t>
        </is>
      </c>
      <c r="H21" s="5" t="inlineStr">
        <is>
          <t>PLAYER</t>
        </is>
      </c>
      <c r="I21" s="5" t="inlineStr">
        <is>
          <t>Sacred Adventures — sanctuary part 26 of N: TOOL CURSOR. Anu domain: PLAYER (input surface). While the player is in TOP-DOWN mode AND a mold tool is armed, the OS cursor hides and a floating emoji icon follows the mouse — the kid can see at a glance which tool a click will fire (⛰ HILL / 🌲 TREE / 🌼 FLOWER / 🌿 BUSH / 🪷 LILY / 🪨 ROCK). In FPV / chase view the icon hides and the OS cursor returns. The tool palette stays as the canonical tile selector — this is just the moving feedback so the cursor isn't a confusing arrow over the map.</t>
        </is>
      </c>
      <c r="J21" s="5" t="inlineStr">
        <is>
          <t>127 lines, 3.9 KB. update() at L100 (14 lines). Per-frame hazards: dom_write×1.</t>
        </is>
      </c>
      <c r="K21" s="5" t="inlineStr"/>
      <c r="L21" s="5" t="inlineStr"/>
      <c r="M21" s="5" t="inlineStr"/>
      <c r="N21" s="5" t="inlineStr">
        <is>
          <t>__sanctuaryMoldTool; addEventListener; removeEventListener</t>
        </is>
      </c>
      <c r="O21" s="5" t="inlineStr"/>
      <c r="P21" s="5" t="inlineStr"/>
      <c r="Q21" s="5" t="inlineStr"/>
      <c r="R21" s="5" t="inlineStr"/>
      <c r="S21" s="5" t="inlineStr"/>
      <c r="T21" s="5" t="inlineStr">
        <is>
          <t>Yes</t>
        </is>
      </c>
      <c r="U21" s="5" t="inlineStr"/>
      <c r="V21" s="5" t="n">
        <v>1</v>
      </c>
      <c r="W21" s="5" t="inlineStr">
        <is>
          <t>2026-05-19 feat(full-session): fishing overhaul, FPS fix, dock elevation, clean world, sanctuary v2</t>
        </is>
      </c>
      <c r="X21" s="5" t="inlineStr"/>
      <c r="Y21" s="6" t="n">
        <v>127</v>
      </c>
    </row>
    <row r="22">
      <c r="A22" s="5" t="inlineStr">
        <is>
          <t>MOD-018</t>
        </is>
      </c>
      <c r="B22" s="5" t="inlineStr">
        <is>
          <t>js/sanctuary/SanctuaryDayNight.js</t>
        </is>
      </c>
      <c r="C22" s="5" t="inlineStr">
        <is>
          <t>SUB-06</t>
        </is>
      </c>
      <c r="D22" s="5" t="inlineStr">
        <is>
          <t>World environment</t>
        </is>
      </c>
      <c r="E22" s="5" t="inlineStr">
        <is>
          <t>Active</t>
        </is>
      </c>
      <c r="F22" s="5" t="n">
        <v>33</v>
      </c>
      <c r="G22" s="5" t="inlineStr">
        <is>
          <t>SanctuaryDayNight</t>
        </is>
      </c>
      <c r="H22" s="5" t="inlineStr">
        <is>
          <t>ENVIRONMENT</t>
        </is>
      </c>
      <c r="I22" s="5" t="inlineStr">
        <is>
          <t>Sacred Adventures — sanctuary part 24 of N: DAY ↔ NIGHT TOGGLE. Anu domain: ENVIRONMENT (sky/light is part of the ground-and- atmosphere kids' bodies must obey). Swaps the sanctuary between two lighting presets when the player clicks the new 🌙 button on the bottom controls bar: DAY — sky pale blue + warm horizon · key light golden 1.05 · hemisphere 0.65 · fog soft daylight · clear bg NIGHT — sky deep indigo + dusk horizon · key light cool 0.42 · hemisphere 0.22 with cool ground · fog twilight · low bg Transitions over ~1.4 s so the change reads as a slow breath, not a snap. While in the wash a</t>
        </is>
      </c>
      <c r="J22" s="5" t="inlineStr">
        <is>
          <t>181 lines, 6.0 KB. update() at L157 (11 lines).</t>
        </is>
      </c>
      <c r="K22" s="5" t="inlineStr">
        <is>
          <t>MOD-093, MOD-098, MOD-100</t>
        </is>
      </c>
      <c r="L22" s="5" t="inlineStr"/>
      <c r="M22" s="5" t="inlineStr"/>
      <c r="N22" s="5" t="inlineStr"/>
      <c r="O22" s="5" t="inlineStr">
        <is>
          <t>SEASON_CHANGE</t>
        </is>
      </c>
      <c r="P22" s="5" t="inlineStr"/>
      <c r="Q22" s="5" t="inlineStr"/>
      <c r="R22" s="5" t="inlineStr"/>
      <c r="S22" s="5" t="inlineStr"/>
      <c r="T22" s="5" t="inlineStr"/>
      <c r="U22" s="5" t="inlineStr"/>
      <c r="V22" s="5" t="n">
        <v>2</v>
      </c>
      <c r="W22" s="5" t="inlineStr">
        <is>
          <t>2026-05-26 feat(pip): add branches back to pip and bump sw cache to v24</t>
        </is>
      </c>
      <c r="X22" s="5" t="inlineStr"/>
      <c r="Y22" s="6" t="n">
        <v>181</v>
      </c>
    </row>
    <row r="23">
      <c r="A23" s="5" t="inlineStr">
        <is>
          <t>MOD-019</t>
        </is>
      </c>
      <c r="B23" s="5" t="inlineStr">
        <is>
          <t>js/sanctuary/SanctuaryDock.js</t>
        </is>
      </c>
      <c r="C23" s="5" t="inlineStr">
        <is>
          <t>SUB-06</t>
        </is>
      </c>
      <c r="D23" s="5" t="inlineStr">
        <is>
          <t>World environment</t>
        </is>
      </c>
      <c r="E23" s="5" t="inlineStr">
        <is>
          <t>Active</t>
        </is>
      </c>
      <c r="F23" s="5" t="n">
        <v>5</v>
      </c>
      <c r="G23" s="5" t="inlineStr">
        <is>
          <t>SanctuaryDock</t>
        </is>
      </c>
      <c r="H23" s="5" t="inlineStr">
        <is>
          <t>STRUCTURES</t>
        </is>
      </c>
      <c r="I23" s="5" t="inlineStr">
        <is>
          <t xml:space="preserve">Sacred Adventures — sanctuary part 3 of 5: THE FISH DOCK. Anu domain: STRUCTURES. Per her sentience note: "Built world — homes, doors, sockets, village objects." The dock is the player's threshold into the pool — they walk out onto the planks, the camera follows, the fishing spot is at the dock's far end. Geometry (all procedural, ~500 tris): shore_anchor pool_centre ─────────────┬─────────[planks]──────────────┬──● fishing spot │ │ · 2 stair steps to walk up · raised platform tip • 8 planks running pool-ward (BoxGeometry, butted side-by-side). • 4 support posts (CylinderGeometry, dipped into </t>
        </is>
      </c>
      <c r="J23" s="5" t="inlineStr">
        <is>
          <t>504 lines, 21.4 KB. update() at L483 (2 lines). Writes 4 globals.</t>
        </is>
      </c>
      <c r="K23" s="5" t="inlineStr">
        <is>
          <t>MOD-027, MOD-098</t>
        </is>
      </c>
      <c r="L23" s="5" t="inlineStr"/>
      <c r="M23" s="5" t="inlineStr">
        <is>
          <t>__regenerateDock; __sanctuaryDockExtents; __sanctuaryDockSurface; __sanctuaryFishingSpot</t>
        </is>
      </c>
      <c r="N23" s="5" t="inlineStr">
        <is>
          <t>__sanctuaryMapType</t>
        </is>
      </c>
      <c r="O23" s="5" t="inlineStr"/>
      <c r="P23" s="5" t="inlineStr"/>
      <c r="Q23" s="5" t="inlineStr"/>
      <c r="R23" s="5" t="inlineStr"/>
      <c r="S23" s="5" t="inlineStr"/>
      <c r="T23" s="5" t="inlineStr"/>
      <c r="U23" s="5" t="inlineStr"/>
      <c r="V23" s="5" t="n">
        <v>13</v>
      </c>
      <c r="W23" s="5" t="inlineStr">
        <is>
          <t>2026-06-01 feat(dock): photoreal procedural wood grain + bump on planks, rails, and support logs</t>
        </is>
      </c>
      <c r="X23" s="5" t="inlineStr">
        <is>
          <t>FND-38</t>
        </is>
      </c>
      <c r="Y23" s="6" t="n">
        <v>504</v>
      </c>
    </row>
    <row r="24">
      <c r="A24" s="5" t="inlineStr">
        <is>
          <t>MOD-020</t>
        </is>
      </c>
      <c r="B24" s="5" t="inlineStr">
        <is>
          <t>js/sanctuary/SanctuaryDragonfly.js</t>
        </is>
      </c>
      <c r="C24" s="5" t="inlineStr">
        <is>
          <t>SUB-07</t>
        </is>
      </c>
      <c r="D24" s="5" t="inlineStr">
        <is>
          <t>Fauna</t>
        </is>
      </c>
      <c r="E24" s="5" t="inlineStr">
        <is>
          <t>Active</t>
        </is>
      </c>
      <c r="F24" s="5" t="n">
        <v>41</v>
      </c>
      <c r="G24" s="5" t="inlineStr">
        <is>
          <t>SanctuaryDragonfly</t>
        </is>
      </c>
      <c r="H24" s="5" t="inlineStr"/>
      <c r="I24" s="5" t="inlineStr">
        <is>
          <t xml:space="preserve">Sacred Adventures — sanctuary: Dragonfly. One small photo-real dragonfly that zips across the pond at random intervals. Per user spec (May-25 2026): "small dragon fly zips by in photo realistic style" Implementation: • Single THREE.Sprite using a procedural CanvasTexture so we don't fetch any asset. Body + wings + jewel-tone iridescence drawn once into a 256×256 canvas; sprite always faces the camera. • Flight path = a Bezier-ish arc across the pond at random start / end points, height 0.6-1.6 m above water. Each "zip" lasts 2-4 s. • Idle gap between zips: 12-30 s (this is ambient flavor, not </t>
        </is>
      </c>
      <c r="J24" s="5" t="inlineStr">
        <is>
          <t>301 lines, 9.7 KB. update() at L240 (44 lines). Writes 1 globals.</t>
        </is>
      </c>
      <c r="K24" s="5" t="inlineStr">
        <is>
          <t>MOD-027, MOD-092, MOD-098</t>
        </is>
      </c>
      <c r="L24" s="5" t="inlineStr"/>
      <c r="M24" s="5" t="inlineStr">
        <is>
          <t>__sanctuaryDragonflies</t>
        </is>
      </c>
      <c r="N24" s="5" t="inlineStr"/>
      <c r="O24" s="5" t="inlineStr"/>
      <c r="P24" s="5" t="inlineStr"/>
      <c r="Q24" s="5" t="inlineStr"/>
      <c r="R24" s="5" t="inlineStr"/>
      <c r="S24" s="5" t="inlineStr"/>
      <c r="T24" s="5" t="inlineStr"/>
      <c r="U24" s="5" t="inlineStr"/>
      <c r="V24" s="5" t="n">
        <v>4</v>
      </c>
      <c r="W24" s="5" t="inlineStr">
        <is>
          <t>2026-05-26 feat(perf): prioritize pipeline traffic via adaptive shadow scheduling and dynamic stride sampling for lesser priorities under stress</t>
        </is>
      </c>
      <c r="X24" s="5" t="inlineStr"/>
      <c r="Y24" s="6" t="n">
        <v>301</v>
      </c>
    </row>
    <row r="25">
      <c r="A25" s="5" t="inlineStr">
        <is>
          <t>MOD-021</t>
        </is>
      </c>
      <c r="B25" s="5" t="inlineStr">
        <is>
          <t>js/sanctuary/SanctuaryFish.js</t>
        </is>
      </c>
      <c r="C25" s="5" t="inlineStr">
        <is>
          <t>SUB-07</t>
        </is>
      </c>
      <c r="D25" s="5" t="inlineStr">
        <is>
          <t>Fauna</t>
        </is>
      </c>
      <c r="E25" s="5" t="inlineStr">
        <is>
          <t>Active</t>
        </is>
      </c>
      <c r="F25" s="5" t="n">
        <v>6</v>
      </c>
      <c r="G25" s="5" t="inlineStr">
        <is>
          <t>SanctuaryFish</t>
        </is>
      </c>
      <c r="H25" s="5" t="inlineStr"/>
      <c r="I25" s="5" t="inlineStr">
        <is>
          <t>Sacred Adventures — sanctuary part 4 of 5: THE FISH. Loads `Assets/Fish/fish.obj` (same trout mesh as v2 Pool2), bakes the 3DS Max Z-up export upright, and swims with velocity-based orbital physics: head leads the path, body wiggles on yaw, gentle depth bob.</t>
        </is>
      </c>
      <c r="J25" s="5" t="inlineStr">
        <is>
          <t>1730 lines, 70.7 KB. update() at L699 (898 lines). Per-frame hazards: traverse×2, alloc_three×7, dom_write×1. Writes 5 globals.</t>
        </is>
      </c>
      <c r="K25" s="5" t="inlineStr">
        <is>
          <t>MOD-027, MOD-092, MOD-098</t>
        </is>
      </c>
      <c r="L25" s="5" t="inlineStr"/>
      <c r="M25" s="5" t="inlineStr">
        <is>
          <t>__sanctuaryFishCount; __sanctuaryFishSchool; __sanctuaryFishTemplate; __sanctuaryFrogOnLily; __sanctuarySpawnBabyFish</t>
        </is>
      </c>
      <c r="N25" s="5" t="inlineStr">
        <is>
          <t>AudioContext; __interestedFish; __sanctuaryAvatar; __sanctuaryBobberPos; __sanctuaryDragonflies; __sanctuaryFishingSpawnRipple; __sanctuaryFrogs; __sanctuaryWaterY; anuOrchestrator; sanctuaryPulse; showWoWCombatText; webkitAudioContext</t>
        </is>
      </c>
      <c r="O25" s="5" t="inlineStr"/>
      <c r="P25" s="5" t="inlineStr"/>
      <c r="Q25" s="5" t="inlineStr"/>
      <c r="R25" s="5" t="inlineStr"/>
      <c r="S25" s="5" t="inlineStr"/>
      <c r="T25" s="5" t="inlineStr"/>
      <c r="U25" s="5" t="inlineStr"/>
      <c r="V25" s="5" t="n">
        <v>17</v>
      </c>
      <c r="W25" s="5" t="inlineStr">
        <is>
          <t>2026-05-29 feat(sanctuary): overhaul sacred pool depth, schooling small fish, funny real-fish eat-jumps, and freeze PIP animations</t>
        </is>
      </c>
      <c r="X25" s="5" t="inlineStr">
        <is>
          <t>FND-15, FND-33, FND-34, FND-42</t>
        </is>
      </c>
      <c r="Y25" s="6" t="n">
        <v>1730</v>
      </c>
    </row>
    <row r="26">
      <c r="A26" s="5" t="inlineStr">
        <is>
          <t>MOD-022</t>
        </is>
      </c>
      <c r="B26" s="5" t="inlineStr">
        <is>
          <t>js/sanctuary/SanctuaryFishJumps.js</t>
        </is>
      </c>
      <c r="C26" s="5" t="inlineStr">
        <is>
          <t>SUB-07</t>
        </is>
      </c>
      <c r="D26" s="5" t="inlineStr">
        <is>
          <t>Fauna</t>
        </is>
      </c>
      <c r="E26" s="5" t="inlineStr">
        <is>
          <t>Active</t>
        </is>
      </c>
      <c r="F26" s="5" t="n">
        <v>31</v>
      </c>
      <c r="G26" s="5" t="inlineStr">
        <is>
          <t>SanctuaryFishJumps</t>
        </is>
      </c>
      <c r="H26" s="5" t="inlineStr">
        <is>
          <t>FAUNA</t>
        </is>
      </c>
      <c r="I26" s="5" t="inlineStr">
        <is>
          <t>Sacred Adventures — sanctuary part 23 of N: FISH JUMPS. Anu domain: FAUNA. Magical surprise life. Every 8–18 seconds Anu picks one fish from `window.__sanctuaryFishSchool` (published by SanctuaryFish), launches a small fish-shaped silhouette on a parabolic arc breaking the water surface, and fires `window.sanctuaryPulse(x, z)` so a ripple expands from the entry point. Cosmetic only — the rendered school below the water keeps swimming on its lazy orbital paths. Per-jump cost: one Mesh added/removed (~16 tris). Active jumps cap at 1 simultaneous — staggers stay clean.</t>
        </is>
      </c>
      <c r="J26" s="5" t="inlineStr">
        <is>
          <t>197 lines, 6.5 KB. update() at L179 (4 lines).</t>
        </is>
      </c>
      <c r="K26" s="5" t="inlineStr">
        <is>
          <t>MOD-027, MOD-098</t>
        </is>
      </c>
      <c r="L26" s="5" t="inlineStr"/>
      <c r="M26" s="5" t="inlineStr"/>
      <c r="N26" s="5" t="inlineStr">
        <is>
          <t>__sanctuaryFishSchool; __sanctuaryFishTemplate; __sanctuaryWaterY; sanctuaryPulse</t>
        </is>
      </c>
      <c r="O26" s="5" t="inlineStr"/>
      <c r="P26" s="5" t="inlineStr"/>
      <c r="Q26" s="5" t="inlineStr"/>
      <c r="R26" s="5" t="inlineStr"/>
      <c r="S26" s="5" t="inlineStr"/>
      <c r="T26" s="5" t="inlineStr"/>
      <c r="U26" s="5" t="inlineStr"/>
      <c r="V26" s="5" t="n">
        <v>4</v>
      </c>
      <c r="W26" s="5" t="inlineStr">
        <is>
          <t>2026-05-29 feat(sanctuary): center-screen responsive welcome guide, organic shore, and mossy boulders</t>
        </is>
      </c>
      <c r="X26" s="5" t="inlineStr"/>
      <c r="Y26" s="6" t="n">
        <v>197</v>
      </c>
    </row>
    <row r="27">
      <c r="A27" s="5" t="inlineStr">
        <is>
          <t>MOD-023</t>
        </is>
      </c>
      <c r="B27" s="5" t="inlineStr">
        <is>
          <t>js/sanctuary/SanctuaryFishing.js</t>
        </is>
      </c>
      <c r="C27" s="5" t="inlineStr">
        <is>
          <t>SUB-11</t>
        </is>
      </c>
      <c r="D27" s="5" t="inlineStr">
        <is>
          <t>Fishing</t>
        </is>
      </c>
      <c r="E27" s="5" t="inlineStr">
        <is>
          <t>Active</t>
        </is>
      </c>
      <c r="F27" s="5" t="n">
        <v>38</v>
      </c>
      <c r="G27" s="5" t="inlineStr">
        <is>
          <t>SanctuaryFishing</t>
        </is>
      </c>
      <c r="H27" s="5" t="inlineStr"/>
      <c r="I27" s="5" t="inlineStr">
        <is>
          <t>Sacred Adventures — sanctuary part 34: FISHING MINI-GAME (v2). Changes from v1: • Lure always casts to pool centre. • Rod rotates to aim at pool centre, pitch scales with distance. • Camera: 10 ft (3.048 m) above water, 4 ft (1.219 m) behind avatar, locked onto pool centre the whole time. • Real J-hook (shank + half-torus curve + barb point) under bobber. • Water ripple rings expand from lure position every 0.6–2.2 s. • Turn-based bite system: 6-second turns, 1–3 % per turn, +5 % surge every 1–3 turns (chosen randomly at cast time).</t>
        </is>
      </c>
      <c r="J27" s="5" t="inlineStr">
        <is>
          <t>2997 lines, 122.2 KB. update() at L1641 (981 lines). Per-frame hazards: traverse×3, alloc_three×2, matrix_update×4. Writes 11 globals.</t>
        </is>
      </c>
      <c r="K27" s="5" t="inlineStr">
        <is>
          <t>MOD-027, MOD-098, MOD-099, MOD-103</t>
        </is>
      </c>
      <c r="L27" s="5" t="inlineStr"/>
      <c r="M27" s="5" t="inlineStr">
        <is>
          <t>__interestedFish; __sanctuaryBobberPos; __sanctuaryFishCount; __sanctuaryFishingActive; __sanctuaryFishingSpawnRipple; __sanctuaryHasFishCaught; __sanctuaryPlayerYaw; _v2InputSuppressed; _v4InputSuppressed; _v4StartFishing; sanctuaryFishingFocus</t>
        </is>
      </c>
      <c r="N27" s="5" t="inlineStr">
        <is>
          <t>AnuUniverse; AudioContext; __sanctuaryAvatar; __sanctuaryDockRoot; __sanctuaryFishSchool; __sanctuaryFishTemplate; __sanctuaryFishingSpot; __sanctuaryKeyboardLook; __sanctuarySpawnBabyFish; _v4CancelClickToMove; addEventListener; anuOrchestrator; removeEventListener; sanctuaryGrant; sanctuaryPulse; webkitAudioContext</t>
        </is>
      </c>
      <c r="O27" s="5" t="inlineStr"/>
      <c r="P27" s="5" t="inlineStr"/>
      <c r="Q27" s="5" t="inlineStr"/>
      <c r="R27" s="5" t="inlineStr"/>
      <c r="S27" s="5" t="inlineStr"/>
      <c r="T27" s="5" t="inlineStr"/>
      <c r="U27" s="5" t="inlineStr"/>
      <c r="V27" s="5" t="n">
        <v>40</v>
      </c>
      <c r="W27" s="5" t="inlineStr">
        <is>
          <t>2026-10-22 perf(pip,fishing): drop limbo PIP_FRAME relay, skip dead fishing scan, no transmission pass</t>
        </is>
      </c>
      <c r="X27" s="5" t="inlineStr">
        <is>
          <t>FND-18, FND-28, FND-30, FND-32, FND-41</t>
        </is>
      </c>
      <c r="Y27" s="6" t="n">
        <v>2997</v>
      </c>
    </row>
    <row r="28">
      <c r="A28" s="5" t="inlineStr">
        <is>
          <t>MOD-024</t>
        </is>
      </c>
      <c r="B28" s="5" t="inlineStr">
        <is>
          <t>js/sanctuary/SanctuaryFlora.js</t>
        </is>
      </c>
      <c r="C28" s="5" t="inlineStr">
        <is>
          <t>SUB-16</t>
        </is>
      </c>
      <c r="D28" s="5" t="inlineStr">
        <is>
          <t>Legacy / unused code</t>
        </is>
      </c>
      <c r="E28" s="5" t="inlineStr">
        <is>
          <t>Unreferenced by any entry page</t>
        </is>
      </c>
      <c r="F28" s="5" t="n"/>
      <c r="G28" s="5" t="inlineStr">
        <is>
          <t>SanctuaryFlora</t>
        </is>
      </c>
      <c r="H28" s="5" t="inlineStr"/>
      <c r="I28" s="5" t="inlineStr">
        <is>
          <t>Sacred Adventures — sanctuary part 12 of N: BASELINE FLORA. Pass-B rewrite (May-18 2026): the prior implementation spawned ~300 Group/Mesh nodes for 50 flower clusters + 12 mushroom clusters + 40 grass tufts. Anu flagged `draw-calls SEVERE` (355 total) the moment this module activated. The new implementation uses `InstancedMesh` for every population: • Stems — 1 InstancedMesh (all wildflower stems share a single dark-green stem material). • Blossoms — 5 InstancedMesh (one per palette colour). Each gets ~10 instances on a 50-cluster scatter. • Mushroom stems — 1 InstancedMesh (cream). • Mushroo</t>
        </is>
      </c>
      <c r="J28" s="5" t="inlineStr">
        <is>
          <t>571 lines, 19.1 KB. update() at L528 (3 lines). Writes 1 globals.</t>
        </is>
      </c>
      <c r="K28" s="5" t="inlineStr">
        <is>
          <t>MOD-027, MOD-098</t>
        </is>
      </c>
      <c r="L28" s="5" t="inlineStr"/>
      <c r="M28" s="5" t="inlineStr">
        <is>
          <t>__sanctuaryFloraTimeUniform</t>
        </is>
      </c>
      <c r="N28" s="5" t="inlineStr"/>
      <c r="O28" s="5" t="inlineStr"/>
      <c r="P28" s="5" t="inlineStr"/>
      <c r="Q28" s="5" t="inlineStr"/>
      <c r="R28" s="5" t="inlineStr"/>
      <c r="S28" s="5" t="inlineStr"/>
      <c r="T28" s="5" t="inlineStr"/>
      <c r="U28" s="5" t="inlineStr"/>
      <c r="V28" s="5" t="n">
        <v>3</v>
      </c>
      <c r="W28" s="5" t="inlineStr">
        <is>
          <t>2026-05-29 feat(sanctuary): overhaul sacred pool depth, schooling small fish, funny real-fish eat-jumps, and freeze PIP animations</t>
        </is>
      </c>
      <c r="X28" s="5" t="inlineStr"/>
      <c r="Y28" s="6" t="n">
        <v>571</v>
      </c>
    </row>
    <row r="29">
      <c r="A29" s="5" t="inlineStr">
        <is>
          <t>MOD-025</t>
        </is>
      </c>
      <c r="B29" s="5" t="inlineStr">
        <is>
          <t>js/sanctuary/SanctuaryFpsHud.js</t>
        </is>
      </c>
      <c r="C29" s="5" t="inlineStr">
        <is>
          <t>SUB-16</t>
        </is>
      </c>
      <c r="D29" s="5" t="inlineStr">
        <is>
          <t>Legacy / unused code</t>
        </is>
      </c>
      <c r="E29" s="5" t="inlineStr">
        <is>
          <t>Unreferenced by any entry page</t>
        </is>
      </c>
      <c r="F29" s="5" t="n"/>
      <c r="G29" s="5" t="inlineStr">
        <is>
          <t>SanctuaryFpsHud</t>
        </is>
      </c>
      <c r="H29" s="5" t="inlineStr"/>
      <c r="I29" s="5" t="inlineStr">
        <is>
          <t>Sacred Adventures — sanctuary part 33 of N: tree-toggle CTA. Originally hosted the standalone #v4-fps-hud pill alongside the tree-toggle button. The pill read from `getFrameBudgetSnapshot()` (render-call cost) while OrchestratorHud's #v2-fps read from `orc.smoothFPS` (actual frame rate) — same word "FPS", different sensors, divergent readings (e.g. headless: 333 vs 30). To stop the confusion, the pill was retired and OrchestratorHud is now the single source of truth for on-screen FPS. What remains here: the top-middle glassmorphic "🌲 TREES …" toggle button. The module name (SanctuaryFpsHud) is</t>
        </is>
      </c>
      <c r="J29" s="5" t="inlineStr">
        <is>
          <t>104 lines, 4.0 KB. No update(). Writes 1 globals.</t>
        </is>
      </c>
      <c r="K29" s="5" t="inlineStr"/>
      <c r="L29" s="5" t="inlineStr"/>
      <c r="M29" s="5" t="inlineStr">
        <is>
          <t>__sanctuaryTreesHidden</t>
        </is>
      </c>
      <c r="N29" s="5" t="inlineStr"/>
      <c r="O29" s="5" t="inlineStr"/>
      <c r="P29" s="5" t="inlineStr"/>
      <c r="Q29" s="5" t="inlineStr"/>
      <c r="R29" s="5" t="inlineStr"/>
      <c r="S29" s="5" t="inlineStr"/>
      <c r="T29" s="5" t="inlineStr"/>
      <c r="U29" s="5" t="inlineStr"/>
      <c r="V29" s="5" t="n">
        <v>9</v>
      </c>
      <c r="W29" s="5" t="inlineStr">
        <is>
          <t>2026-05-27 fix(hud,anu): unify FPS source on orc.smoothFPS + make .report() return real snapshots</t>
        </is>
      </c>
      <c r="X29" s="5" t="inlineStr"/>
      <c r="Y29" s="6" t="n">
        <v>104</v>
      </c>
    </row>
    <row r="30">
      <c r="A30" s="5" t="inlineStr">
        <is>
          <t>MOD-026</t>
        </is>
      </c>
      <c r="B30" s="5" t="inlineStr">
        <is>
          <t>js/sanctuary/SanctuaryFrogs.js</t>
        </is>
      </c>
      <c r="C30" s="5" t="inlineStr">
        <is>
          <t>SUB-07</t>
        </is>
      </c>
      <c r="D30" s="5" t="inlineStr">
        <is>
          <t>Fauna</t>
        </is>
      </c>
      <c r="E30" s="5" t="inlineStr">
        <is>
          <t>Active</t>
        </is>
      </c>
      <c r="F30" s="5" t="n">
        <v>43</v>
      </c>
      <c r="G30" s="5" t="inlineStr">
        <is>
          <t>SanctuaryFrogs</t>
        </is>
      </c>
      <c r="H30" s="5" t="inlineStr">
        <is>
          <t>FAUNA</t>
        </is>
      </c>
      <c r="I30" s="5" t="inlineStr">
        <is>
          <t>Sacred Adventures — sanctuary: SanctuaryFrogs Procedural implementation of frogs and lily pads with AI state machines. Elements: 1. Lily Pads &amp; Flowers: Flat cylinders with v-notches + procedural petal clusters. 2. Frogs: Procedural geometry (green body, white belly, eyes, black smile). AI States: - SWIM: Moving in water, only eyes/top visible. - BASK_LILY: Resting on a lily pad. - BASK_SHORE: Resting on the shore. - FLEE: Jumps from shore to water/lily when player approaches. - JUMP: Parabolic motion between two points. Anu domain: FAUNA + FLORA</t>
        </is>
      </c>
      <c r="J30" s="5" t="inlineStr">
        <is>
          <t>1120 lines, 41.5 KB. update() at L645 (281 lines). Writes 3 globals.</t>
        </is>
      </c>
      <c r="K30" s="5" t="inlineStr">
        <is>
          <t>MOD-027, MOD-092</t>
        </is>
      </c>
      <c r="L30" s="5" t="inlineStr"/>
      <c r="M30" s="5" t="inlineStr">
        <is>
          <t>__sanctuaryFrogOnLily; __sanctuaryFrogs; __sanctuaryFrogsRegenerate</t>
        </is>
      </c>
      <c r="N30" s="5" t="inlineStr">
        <is>
          <t>WorldPlayer; __sanctuaryBobberPos; __sanctuaryDragonflies; __sanctuaryFishSchool; __sanctuaryLilyPads; sanctuaryPulse</t>
        </is>
      </c>
      <c r="O30" s="5" t="inlineStr"/>
      <c r="P30" s="5" t="inlineStr"/>
      <c r="Q30" s="5" t="inlineStr"/>
      <c r="R30" s="5" t="inlineStr"/>
      <c r="S30" s="5" t="inlineStr"/>
      <c r="T30" s="5" t="inlineStr"/>
      <c r="U30" s="5" t="inlineStr"/>
      <c r="V30" s="5" t="n">
        <v>10</v>
      </c>
      <c r="W30" s="5" t="inlineStr">
        <is>
          <t>2026-06-02 feat(pool): clearer water reveals the deep basin + 10 bigger frogs</t>
        </is>
      </c>
      <c r="X30" s="5" t="inlineStr"/>
      <c r="Y30" s="6" t="n">
        <v>1120</v>
      </c>
    </row>
    <row r="31">
      <c r="A31" s="5" t="inlineStr">
        <is>
          <t>MOD-027</t>
        </is>
      </c>
      <c r="B31" s="5" t="inlineStr">
        <is>
          <t>js/sanctuary/SanctuaryGround.js</t>
        </is>
      </c>
      <c r="C31" s="5" t="inlineStr">
        <is>
          <t>SUB-06</t>
        </is>
      </c>
      <c r="D31" s="5" t="inlineStr">
        <is>
          <t>World environment</t>
        </is>
      </c>
      <c r="E31" s="5" t="inlineStr">
        <is>
          <t>Active</t>
        </is>
      </c>
      <c r="F31" s="5" t="n">
        <v>3</v>
      </c>
      <c r="G31" s="5" t="inlineStr">
        <is>
          <t>SanctuaryGround</t>
        </is>
      </c>
      <c r="H31" s="5" t="inlineStr">
        <is>
          <t>ENVIRONMENT</t>
        </is>
      </c>
      <c r="I31" s="5" t="inlineStr">
        <is>
          <t>Sacred Adventures — sanctuary part 1 of 5: GROUND + ATMOSPHERE. Anu domain: ENVIRONMENT. Per her sentience note: "The ground and atmosphere that all bodies must obey." This module owns: • Terrain — gentle organic clearing that cradles the pool. Single PlaneGeometry with vertex displacement; the pool basin is carved at module load via shared `sanctuaryGroundY(x, z)` so other parts (pool, dock, fish, circles) all sit on the same heightfield. • Sky — soft warm-to-cool gradient hemisphere following the camera. No moving clouds, no fbm — the sanctuary should read STILL. • Light — hemisphere + key d</t>
        </is>
      </c>
      <c r="J31" s="5" t="inlineStr">
        <is>
          <t>833 lines, 31.3 KB. update() at L801 (5 lines).</t>
        </is>
      </c>
      <c r="K31" s="5" t="inlineStr">
        <is>
          <t>MOD-036, MOD-098</t>
        </is>
      </c>
      <c r="L31" s="5" t="inlineStr">
        <is>
          <t>MOD-003, MOD-004, MOD-005, MOD-006, MOD-007, MOD-008, MOD-009, MOD-011, MOD-012, MOD-013, MOD-014, MOD-015, MOD-019, MOD-020, MOD-021, MOD-022, MOD-023, MOD-024, MOD-026, MOD-028, MOD-031, MOD-034, MOD-035, MOD-039, MOD-042, MOD-043, MOD-047</t>
        </is>
      </c>
      <c r="M31" s="5" t="inlineStr"/>
      <c r="N31" s="5" t="inlineStr">
        <is>
          <t>__sanctuaryDockSurface; __sanctuaryWaterY</t>
        </is>
      </c>
      <c r="O31" s="5" t="inlineStr"/>
      <c r="P31" s="5" t="inlineStr"/>
      <c r="Q31" s="5" t="inlineStr"/>
      <c r="R31" s="5" t="inlineStr"/>
      <c r="S31" s="5" t="inlineStr">
        <is>
          <t>Assets/landscape-scenes/terrain/grass-seamless.png</t>
        </is>
      </c>
      <c r="T31" s="5" t="inlineStr"/>
      <c r="U31" s="5" t="inlineStr"/>
      <c r="V31" s="5" t="n">
        <v>16</v>
      </c>
      <c r="W31" s="5" t="inlineStr">
        <is>
          <t>2026-05-30 feat(sanctuary): strong pronounced neumorphic hex tiles for village-view planning</t>
        </is>
      </c>
      <c r="X31" s="5" t="inlineStr"/>
      <c r="Y31" s="6" t="n">
        <v>833</v>
      </c>
    </row>
    <row r="32">
      <c r="A32" s="5" t="inlineStr">
        <is>
          <t>MOD-028</t>
        </is>
      </c>
      <c r="B32" s="5" t="inlineStr">
        <is>
          <t>js/sanctuary/SanctuaryHexGrid.js</t>
        </is>
      </c>
      <c r="C32" s="5" t="inlineStr">
        <is>
          <t>SUB-06</t>
        </is>
      </c>
      <c r="D32" s="5" t="inlineStr">
        <is>
          <t>World environment</t>
        </is>
      </c>
      <c r="E32" s="5" t="inlineStr">
        <is>
          <t>Registered, activation commented out</t>
        </is>
      </c>
      <c r="F32" s="5" t="n"/>
      <c r="G32" s="5" t="inlineStr">
        <is>
          <t>SanctuaryHexGrid</t>
        </is>
      </c>
      <c r="H32" s="5" t="inlineStr">
        <is>
          <t>ENVIRONMENT</t>
        </is>
      </c>
      <c r="I32" s="5" t="inlineStr">
        <is>
          <t>Sacred Adventures — sanctuary: LEGACY GOLD HEX-LINE GRID. Ports the warm-gold neumorphic hexagon OUTLINE grid from the legacy engine (`EnvironmentBuilder.createVillageHexGrid`) onto the v2 sanctuary scene. The legacy `EnvironmentBuilder` is not loaded by the sanctuary boot path, so this is a self-contained re-implementation of just the line ring — no filled hex tiles, only the elegant boardgame outlines the user asked to bring back. Legacy fidelity (1:1 with EnvironmentBuilder lines 184-224): • 25 m hexagons (RADIUS 25, GAP 0.5 → size 24.5) • 0.25 m border width (inner hole at size - 0.25) • t</t>
        </is>
      </c>
      <c r="J32" s="5" t="inlineStr">
        <is>
          <t>153 lines, 5.4 KB. update() at L139 (0 lines).</t>
        </is>
      </c>
      <c r="K32" s="5" t="inlineStr">
        <is>
          <t>MOD-027, MOD-098</t>
        </is>
      </c>
      <c r="L32" s="5" t="inlineStr"/>
      <c r="M32" s="5" t="inlineStr"/>
      <c r="N32" s="5" t="inlineStr"/>
      <c r="O32" s="5" t="inlineStr"/>
      <c r="P32" s="5" t="inlineStr"/>
      <c r="Q32" s="5" t="inlineStr"/>
      <c r="R32" s="5" t="inlineStr"/>
      <c r="S32" s="5" t="inlineStr"/>
      <c r="T32" s="5" t="inlineStr"/>
      <c r="U32" s="5" t="inlineStr"/>
      <c r="V32" s="5" t="n">
        <v>1</v>
      </c>
      <c r="W32" s="5" t="inlineStr">
        <is>
          <t>2026-05-29 feat(fishing): soften rod struggle sways, and integrate Claude's gold hex grid overlay module</t>
        </is>
      </c>
      <c r="X32" s="5" t="inlineStr"/>
      <c r="Y32" s="6" t="n">
        <v>153</v>
      </c>
    </row>
    <row r="33">
      <c r="A33" s="5" t="inlineStr">
        <is>
          <t>MOD-029</t>
        </is>
      </c>
      <c r="B33" s="5" t="inlineStr">
        <is>
          <t>js/sanctuary/SanctuaryInventory.js</t>
        </is>
      </c>
      <c r="C33" s="5" t="inlineStr">
        <is>
          <t>SUB-12</t>
        </is>
      </c>
      <c r="D33" s="5" t="inlineStr">
        <is>
          <t>Items &amp; save</t>
        </is>
      </c>
      <c r="E33" s="5" t="inlineStr">
        <is>
          <t>Active</t>
        </is>
      </c>
      <c r="F33" s="5" t="n">
        <v>36</v>
      </c>
      <c r="G33" s="5" t="inlineStr">
        <is>
          <t>SanctuaryInventory</t>
        </is>
      </c>
      <c r="H33" s="5" t="inlineStr">
        <is>
          <t>ITEMS</t>
        </is>
      </c>
      <c r="I33" s="5" t="inlineStr">
        <is>
          <t>Sacred Adventures — sanctuary part 28 of N: HARVEST INVENTORY. Anu domain: ITEMS (Anu's `items` domain finally has something in it!). The `harvest` verb in Anu's vocabulary becomes real. When a kid clicks (in FPV/chase view) on anything tagged with `anuInteractionVerbs` including HARVEST — bushes, mushroom clusters, planted flowers, planted trees, fish — the world spawns an inventory item of a matching kind into a small floating bag UI in the corner. Five item kinds exposed: 🌿 leaf (from bushes) 🍓 berry (from bushes that rolled the berry payload) 🍄 mushroom (from mushroom clusters) 🌼 petal (fr</t>
        </is>
      </c>
      <c r="J33" s="5" t="inlineStr">
        <is>
          <t>238 lines, 8.7 KB. update() at L216 (0 lines). Writes 2 globals.</t>
        </is>
      </c>
      <c r="K33" s="5" t="inlineStr">
        <is>
          <t>MOD-093, MOD-098, MOD-100</t>
        </is>
      </c>
      <c r="L33" s="5" t="inlineStr"/>
      <c r="M33" s="5" t="inlineStr">
        <is>
          <t>sanctuaryGrant; sanctuaryInventory</t>
        </is>
      </c>
      <c r="N33" s="5" t="inlineStr"/>
      <c r="O33" s="5" t="inlineStr">
        <is>
          <t>ITEM_EVENT</t>
        </is>
      </c>
      <c r="P33" s="5" t="inlineStr"/>
      <c r="Q33" s="5" t="inlineStr"/>
      <c r="R33" s="5" t="inlineStr"/>
      <c r="S33" s="5" t="inlineStr"/>
      <c r="T33" s="5" t="inlineStr">
        <is>
          <t>Yes</t>
        </is>
      </c>
      <c r="U33" s="5" t="inlineStr"/>
      <c r="V33" s="5" t="n">
        <v>1</v>
      </c>
      <c r="W33" s="5" t="inlineStr">
        <is>
          <t>2026-05-19 feat(full-session): fishing overhaul, FPS fix, dock elevation, clean world, sanctuary v2</t>
        </is>
      </c>
      <c r="X33" s="5" t="inlineStr"/>
      <c r="Y33" s="6" t="n">
        <v>238</v>
      </c>
    </row>
    <row r="34">
      <c r="A34" s="5" t="inlineStr">
        <is>
          <t>MOD-030</t>
        </is>
      </c>
      <c r="B34" s="5" t="inlineStr">
        <is>
          <t>js/sanctuary/SanctuaryJournalBridge.js</t>
        </is>
      </c>
      <c r="C34" s="5" t="inlineStr">
        <is>
          <t>SUB-13</t>
        </is>
      </c>
      <c r="D34" s="5" t="inlineStr">
        <is>
          <t>UI shell &amp; journal</t>
        </is>
      </c>
      <c r="E34" s="5" t="inlineStr">
        <is>
          <t>Active</t>
        </is>
      </c>
      <c r="F34" s="5" t="n">
        <v>40</v>
      </c>
      <c r="G34" s="5" t="inlineStr">
        <is>
          <t>SanctuaryJournalBridge</t>
        </is>
      </c>
      <c r="H34" s="5" t="inlineStr"/>
      <c r="I34" s="5" t="inlineStr">
        <is>
          <t>Sacred Adventures — sanctuary: Journal ↔ Anu bridge. The SacredGame.Journal.html iframe communicates exclusively via postMessage (self-contained, no Panel dependencies). This module sits in the parent window, translates those messages into Anu's InteractionBus events, AND replies to journal-side queries with fresh sensorium / governance snapshots. Why a dedicated bridge module: • Anu wants to KNOW about UI state changes — journal open/close is a player-mode signal Anu reads in its sensorium roll-up. • The journal wants to DISPLAY live world state — entity counts, governance check pass-rate, ac</t>
        </is>
      </c>
      <c r="J34" s="5" t="inlineStr">
        <is>
          <t>172 lines, 6.7 KB. No update(). Writes 1 globals.</t>
        </is>
      </c>
      <c r="K34" s="5" t="inlineStr">
        <is>
          <t>MOD-093, MOD-098</t>
        </is>
      </c>
      <c r="L34" s="5" t="inlineStr"/>
      <c r="M34" s="5" t="inlineStr">
        <is>
          <t>sanctuaryJournalBridge</t>
        </is>
      </c>
      <c r="N34" s="5" t="inlineStr">
        <is>
          <t>AnuUniverse; addEventListener; anuOrchestrator; clearInterval; removeEventListener; setInterval</t>
        </is>
      </c>
      <c r="O34" s="5" t="inlineStr"/>
      <c r="P34" s="5" t="inlineStr"/>
      <c r="Q34" s="5" t="inlineStr"/>
      <c r="R34" s="5" t="inlineStr"/>
      <c r="S34" s="5" t="inlineStr"/>
      <c r="T34" s="5" t="inlineStr">
        <is>
          <t>Yes</t>
        </is>
      </c>
      <c r="U34" s="5" t="inlineStr"/>
      <c r="V34" s="5" t="n">
        <v>1</v>
      </c>
      <c r="W34" s="5" t="inlineStr">
        <is>
          <t>2026-05-25 feat+perf: journal↔Anu bridge + Help button + Welcome Prev + de-spring + kill 20+ backdrop-filters</t>
        </is>
      </c>
      <c r="X34" s="5" t="inlineStr"/>
      <c r="Y34" s="6" t="n">
        <v>172</v>
      </c>
    </row>
    <row r="35">
      <c r="A35" s="5" t="inlineStr">
        <is>
          <t>MOD-031</t>
        </is>
      </c>
      <c r="B35" s="5" t="inlineStr">
        <is>
          <t>js/sanctuary/SanctuaryKeyboardLook.js</t>
        </is>
      </c>
      <c r="C35" s="5" t="inlineStr">
        <is>
          <t>SUB-08</t>
        </is>
      </c>
      <c r="D35" s="5" t="inlineStr">
        <is>
          <t>Player</t>
        </is>
      </c>
      <c r="E35" s="5" t="inlineStr">
        <is>
          <t>Active</t>
        </is>
      </c>
      <c r="F35" s="5" t="n">
        <v>24</v>
      </c>
      <c r="G35" s="5" t="inlineStr">
        <is>
          <t>SanctuaryKeyboardLook</t>
        </is>
      </c>
      <c r="H35" s="5" t="inlineStr">
        <is>
          <t>PLAYER</t>
        </is>
      </c>
      <c r="I35" s="5" t="inlineStr">
        <is>
          <t>Sacred Adventures — sanctuary part 18 of N: KEYBOARD MOVE + LOOK. Anu domain: PLAYER (input + intent). The click-to-move module already walks the body to a goal point; this module adds WASD direct steering + arrow-key look-around so the player can do what they want every frame instead of one click at a time. Binding (kid-friendly, no caps required, no modifiers): W / ↑ move forward (toward where the camera is looking, on the XZ plane) S / ↓ move backward A strafe left D strafe right Q turn yaw left (also rebinds to bumper-thumb friendly) E turn yaw right ← → turn yaw left / right (arrow altern</t>
        </is>
      </c>
      <c r="J35" s="5" t="inlineStr">
        <is>
          <t>294 lines, 11.9 KB. update() at L112 (170 lines). Per-frame hazards: alloc_three×2, dom_query×1. Writes 1 globals.</t>
        </is>
      </c>
      <c r="K35" s="5" t="inlineStr">
        <is>
          <t>MOD-015, MOD-027</t>
        </is>
      </c>
      <c r="L35" s="5" t="inlineStr"/>
      <c r="M35" s="5" t="inlineStr">
        <is>
          <t>__sanctuaryPlayerYaw</t>
        </is>
      </c>
      <c r="N35" s="5" t="inlineStr">
        <is>
          <t>__sanctuaryAvatar; __sanctuaryJoystickInput; __sanctuaryZoomFactor; _v4CancelClickToMove; _v4InputSuppressed; addEventListener; removeEventListener</t>
        </is>
      </c>
      <c r="O35" s="5" t="inlineStr"/>
      <c r="P35" s="5" t="inlineStr"/>
      <c r="Q35" s="5" t="inlineStr"/>
      <c r="R35" s="5" t="inlineStr"/>
      <c r="S35" s="5" t="inlineStr"/>
      <c r="T35" s="5" t="inlineStr">
        <is>
          <t>Yes</t>
        </is>
      </c>
      <c r="U35" s="5" t="inlineStr"/>
      <c r="V35" s="5" t="n">
        <v>7</v>
      </c>
      <c r="W35" s="5" t="inlineStr">
        <is>
          <t>2026-05-28 fix(fishing,avatar,travel): gauge stays in PIP at low opacity + half-submerged swim + 40mm decal clearance</t>
        </is>
      </c>
      <c r="X35" s="5" t="inlineStr"/>
      <c r="Y35" s="6" t="n">
        <v>294</v>
      </c>
    </row>
    <row r="36">
      <c r="A36" s="5" t="inlineStr">
        <is>
          <t>MOD-032</t>
        </is>
      </c>
      <c r="B36" s="5" t="inlineStr">
        <is>
          <t>js/sanctuary/SanctuaryMapGeneratorUi.js</t>
        </is>
      </c>
      <c r="C36" s="5" t="inlineStr">
        <is>
          <t>SUB-10</t>
        </is>
      </c>
      <c r="D36" s="5" t="inlineStr">
        <is>
          <t>Structures &amp; village building</t>
        </is>
      </c>
      <c r="E36" s="5" t="inlineStr">
        <is>
          <t>Active</t>
        </is>
      </c>
      <c r="F36" s="5" t="n">
        <v>23</v>
      </c>
      <c r="G36" s="5" t="inlineStr">
        <is>
          <t>SanctuaryMapGeneratorUi</t>
        </is>
      </c>
      <c r="H36" s="5" t="inlineStr"/>
      <c r="I36" s="5" t="inlineStr">
        <is>
          <t>Sacred Adventures — SanctuaryMapGeneratorUi The GENERATE SCENE / CLEAR SCENE buttons have been merged into SanctuaryToolPalette, which now renders a unified "FLORA &amp; BUILD" panel attached flush below the OrchestratorHud in Village View. This module stub is kept so the index.html boot sequence doesn't break.</t>
        </is>
      </c>
      <c r="J36" s="5" t="inlineStr">
        <is>
          <t>17 lines, 0.5 KB. update() at L14 (0 lines).</t>
        </is>
      </c>
      <c r="K36" s="5" t="inlineStr"/>
      <c r="L36" s="5" t="inlineStr"/>
      <c r="M36" s="5" t="inlineStr"/>
      <c r="N36" s="5" t="inlineStr"/>
      <c r="O36" s="5" t="inlineStr"/>
      <c r="P36" s="5" t="inlineStr"/>
      <c r="Q36" s="5" t="inlineStr"/>
      <c r="R36" s="5" t="inlineStr"/>
      <c r="S36" s="5" t="inlineStr"/>
      <c r="T36" s="5" t="inlineStr">
        <is>
          <t>Yes</t>
        </is>
      </c>
      <c r="U36" s="5" t="inlineStr"/>
      <c r="V36" s="5" t="n">
        <v>3</v>
      </c>
      <c r="W36" s="5" t="inlineStr">
        <is>
          <t>2026-05-26 refactor: promote index.v4.html → index.html as canonical entry point</t>
        </is>
      </c>
      <c r="X36" s="5" t="inlineStr"/>
      <c r="Y36" s="6" t="n">
        <v>17</v>
      </c>
    </row>
    <row r="37">
      <c r="A37" s="5" t="inlineStr">
        <is>
          <t>MOD-033</t>
        </is>
      </c>
      <c r="B37" s="5" t="inlineStr">
        <is>
          <t>js/sanctuary/SanctuaryMutations.js</t>
        </is>
      </c>
      <c r="C37" s="5" t="inlineStr">
        <is>
          <t>SUB-10</t>
        </is>
      </c>
      <c r="D37" s="5" t="inlineStr">
        <is>
          <t>Structures &amp; village building</t>
        </is>
      </c>
      <c r="E37" s="5" t="inlineStr">
        <is>
          <t>Active</t>
        </is>
      </c>
      <c r="F37" s="5" t="n">
        <v>13</v>
      </c>
      <c r="G37" s="5" t="inlineStr">
        <is>
          <t>SanctuaryMutations</t>
        </is>
      </c>
      <c r="H37" s="5" t="inlineStr">
        <is>
          <t>ENVIRONMENT</t>
        </is>
      </c>
      <c r="I37" s="5" t="inlineStr">
        <is>
          <t>Sacred Adventures — sanctuary part 9 of N: WORLD-MUTATION REGISTRY. The foundation kids stand on when they shape this world. Each recognised "tool" (grow_hill, plant_tree, plant_bush, plant_lily, plant_rock) becomes a registered mutation type. When the player acts in top-down mode, the active tool publishes one mutation through this registry; the registry then: 1. Applies the visual effect (spawns mesh / lifts terrain / etc.). 2. Records the mutation in a list so SAVE serialises it. 3. Dispatches `ANU_EVENTS.SANCTUARY_MOLD` on the InteractionBus so Anu sees every kid edit. This module is the S</t>
        </is>
      </c>
      <c r="J37" s="5" t="inlineStr">
        <is>
          <t>169 lines, 5.2 KB. update() at L157 (0 lines). Writes 1 globals.</t>
        </is>
      </c>
      <c r="K37" s="5" t="inlineStr">
        <is>
          <t>MOD-093, MOD-098, MOD-100</t>
        </is>
      </c>
      <c r="L37" s="5" t="inlineStr"/>
      <c r="M37" s="5" t="inlineStr">
        <is>
          <t>SanctuaryMutations</t>
        </is>
      </c>
      <c r="N37" s="5" t="inlineStr">
        <is>
          <t>localStorage</t>
        </is>
      </c>
      <c r="O37" s="5" t="inlineStr">
        <is>
          <t>SANCTUARY_MOLD</t>
        </is>
      </c>
      <c r="P37" s="5" t="inlineStr"/>
      <c r="Q37" s="5" t="inlineStr"/>
      <c r="R37" s="5" t="inlineStr"/>
      <c r="S37" s="5" t="inlineStr"/>
      <c r="T37" s="5" t="inlineStr">
        <is>
          <t>Yes</t>
        </is>
      </c>
      <c r="U37" s="5" t="inlineStr"/>
      <c r="V37" s="5" t="n">
        <v>1</v>
      </c>
      <c r="W37" s="5" t="inlineStr">
        <is>
          <t>2026-05-19 feat(full-session): fishing overhaul, FPS fix, dock elevation, clean world, sanctuary v2</t>
        </is>
      </c>
      <c r="X37" s="5" t="inlineStr"/>
      <c r="Y37" s="6" t="n">
        <v>169</v>
      </c>
    </row>
    <row r="38">
      <c r="A38" s="5" t="inlineStr">
        <is>
          <t>MOD-034</t>
        </is>
      </c>
      <c r="B38" s="5" t="inlineStr">
        <is>
          <t>js/sanctuary/SanctuaryPondTrees.js</t>
        </is>
      </c>
      <c r="C38" s="5" t="inlineStr">
        <is>
          <t>SUB-06</t>
        </is>
      </c>
      <c r="D38" s="5" t="inlineStr">
        <is>
          <t>World environment</t>
        </is>
      </c>
      <c r="E38" s="5" t="inlineStr">
        <is>
          <t>Active</t>
        </is>
      </c>
      <c r="F38" s="5" t="n">
        <v>42</v>
      </c>
      <c r="G38" s="5" t="inlineStr">
        <is>
          <t>SanctuaryPondTrees</t>
        </is>
      </c>
      <c r="H38" s="5" t="inlineStr">
        <is>
          <t>FLORA</t>
        </is>
      </c>
      <c r="I38" s="5" t="inlineStr">
        <is>
          <t>Sacred Adventures — sanctuary: SanctuaryPondTrees (InstancedMesh refactor) Recreates the misty sacred pond atmosphere using high-quality photorealistic assets (tree.glb, bush.glb, and reeds.glb). All flora is now rendered using THREE.InstancedMesh to achieve massive density (36 trees, 72 bushes, 24 reeds) with exactly zero FPS drop. Anu domain: FLORA</t>
        </is>
      </c>
      <c r="J38" s="5" t="inlineStr">
        <is>
          <t>354 lines, 14.1 KB. update() at L335 (8 lines).</t>
        </is>
      </c>
      <c r="K38" s="5" t="inlineStr">
        <is>
          <t>MOD-027, MOD-104</t>
        </is>
      </c>
      <c r="L38" s="5" t="inlineStr"/>
      <c r="M38" s="5" t="inlineStr"/>
      <c r="N38" s="5" t="inlineStr"/>
      <c r="O38" s="5" t="inlineStr"/>
      <c r="P38" s="5" t="inlineStr"/>
      <c r="Q38" s="5" t="inlineStr"/>
      <c r="R38" s="5" t="inlineStr"/>
      <c r="S38" s="5" t="inlineStr">
        <is>
          <t>Assets/bush.glb; Assets/flora/reeds.glb; Assets/tree.glb</t>
        </is>
      </c>
      <c r="T38" s="5" t="inlineStr"/>
      <c r="U38" s="5" t="inlineStr"/>
      <c r="V38" s="5" t="n">
        <v>7</v>
      </c>
      <c r="W38" s="5" t="inlineStr">
        <is>
          <t>2026-05-30 perf(scene): cull far flora + raise PIP stride + tree frustum-cull/leaf-shadow</t>
        </is>
      </c>
      <c r="X38" s="5" t="inlineStr">
        <is>
          <t>FND-43</t>
        </is>
      </c>
      <c r="Y38" s="6" t="n">
        <v>354</v>
      </c>
    </row>
    <row r="39">
      <c r="A39" s="5" t="inlineStr">
        <is>
          <t>MOD-035</t>
        </is>
      </c>
      <c r="B39" s="5" t="inlineStr">
        <is>
          <t>js/sanctuary/SanctuaryPool.js</t>
        </is>
      </c>
      <c r="C39" s="5" t="inlineStr">
        <is>
          <t>SUB-06</t>
        </is>
      </c>
      <c r="D39" s="5" t="inlineStr">
        <is>
          <t>World environment</t>
        </is>
      </c>
      <c r="E39" s="5" t="inlineStr">
        <is>
          <t>Active</t>
        </is>
      </c>
      <c r="F39" s="5" t="n">
        <v>4</v>
      </c>
      <c r="G39" s="5" t="inlineStr">
        <is>
          <t>SanctuaryPool</t>
        </is>
      </c>
      <c r="H39" s="5" t="inlineStr"/>
      <c r="I39" s="5" t="inlineStr">
        <is>
          <t>Sacred Adventures — sanctuary part 2 of 5: THE POOL. The centrepiece. A sacred dark-water pool with organic edges. Anu domain: ENVIRONMENT (water itself isn't a structure; it's part of the ground-and-atmosphere that bodies must obey). Pieces: • Water surface — CircleGeometry, 48 segments, animated 3-wave ripple shader. Sits at `groundY(center) + WATER_DROP_M`. Transparent at 0.62 so the fish and bowl floor read through cleanly. • Basin floor — second darker disc just under the water, gives the pool a sense of depth (the carved terrain under it is mostly hidden). • Lily pads — 14 instanced low-</t>
        </is>
      </c>
      <c r="J39" s="5" t="inlineStr">
        <is>
          <t>2119 lines, 84.7 KB. update() at L2000 (90 lines). Writes 2 globals.</t>
        </is>
      </c>
      <c r="K39" s="5" t="inlineStr">
        <is>
          <t>MOD-027, MOD-036, MOD-092, MOD-098</t>
        </is>
      </c>
      <c r="L39" s="5" t="inlineStr"/>
      <c r="M39" s="5" t="inlineStr">
        <is>
          <t>__sanctuaryLilyPads; __sanctuaryWaterY</t>
        </is>
      </c>
      <c r="N39" s="5" t="inlineStr"/>
      <c r="O39" s="5" t="inlineStr"/>
      <c r="P39" s="5" t="inlineStr"/>
      <c r="Q39" s="5" t="inlineStr"/>
      <c r="R39" s="5" t="inlineStr"/>
      <c r="S39" s="5" t="inlineStr">
        <is>
          <t>Assets/landscape-scenes/terrain/rock.png</t>
        </is>
      </c>
      <c r="T39" s="5" t="inlineStr"/>
      <c r="U39" s="5" t="inlineStr"/>
      <c r="V39" s="5" t="n">
        <v>39</v>
      </c>
      <c r="W39" s="5" t="inlineStr">
        <is>
          <t>2026-06-02 feat(pool): clearer water reveals the deep basin + 10 bigger frogs</t>
        </is>
      </c>
      <c r="X39" s="5" t="inlineStr">
        <is>
          <t>FND-30, FND-35, FND-36, FND-38, FND-39, FND-40</t>
        </is>
      </c>
      <c r="Y39" s="6" t="n">
        <v>2119</v>
      </c>
    </row>
    <row r="40">
      <c r="A40" s="5" t="inlineStr">
        <is>
          <t>MOD-036</t>
        </is>
      </c>
      <c r="B40" s="5" t="inlineStr">
        <is>
          <t>js/sanctuary/SanctuarySceneConstructor.js</t>
        </is>
      </c>
      <c r="C40" s="5" t="inlineStr">
        <is>
          <t>SUB-06</t>
        </is>
      </c>
      <c r="D40" s="5" t="inlineStr">
        <is>
          <t>World environment</t>
        </is>
      </c>
      <c r="E40" s="5" t="inlineStr">
        <is>
          <t>Imported library (no module lifecycle)</t>
        </is>
      </c>
      <c r="F40" s="5" t="n"/>
      <c r="G40" s="5" t="inlineStr"/>
      <c r="H40" s="5" t="inlineStr"/>
      <c r="I40" s="5" t="inlineStr">
        <is>
          <t>SanctuarySceneConstructor.js A lightweight asset loading and compiling performance wrapper. Ensures that all texture loads and shader compilations are telemetry-asserted to monitor their impact on our strict 120 FPS budget (8.33ms).</t>
        </is>
      </c>
      <c r="J40" s="5" t="inlineStr">
        <is>
          <t>53 lines, 1.5 KB. No update().</t>
        </is>
      </c>
      <c r="K40" s="5" t="inlineStr"/>
      <c r="L40" s="5" t="inlineStr">
        <is>
          <t>MOD-027, MOD-035</t>
        </is>
      </c>
      <c r="M40" s="5" t="inlineStr"/>
      <c r="N40" s="5" t="inlineStr"/>
      <c r="O40" s="5" t="inlineStr"/>
      <c r="P40" s="5" t="inlineStr"/>
      <c r="Q40" s="5" t="inlineStr"/>
      <c r="R40" s="5" t="inlineStr"/>
      <c r="S40" s="5" t="inlineStr"/>
      <c r="T40" s="5" t="inlineStr"/>
      <c r="U40" s="5" t="inlineStr"/>
      <c r="V40" s="5" t="n">
        <v>1</v>
      </c>
      <c r="W40" s="5" t="inlineStr">
        <is>
          <t>2026-05-26 okay -- its trying to fix fps panel and sucking at it</t>
        </is>
      </c>
      <c r="X40" s="5" t="inlineStr"/>
      <c r="Y40" s="6" t="n">
        <v>53</v>
      </c>
    </row>
    <row r="41">
      <c r="A41" s="5" t="inlineStr">
        <is>
          <t>MOD-037</t>
        </is>
      </c>
      <c r="B41" s="5" t="inlineStr">
        <is>
          <t>js/sanctuary/SanctuarySky.js</t>
        </is>
      </c>
      <c r="C41" s="5" t="inlineStr">
        <is>
          <t>SUB-06</t>
        </is>
      </c>
      <c r="D41" s="5" t="inlineStr">
        <is>
          <t>World environment</t>
        </is>
      </c>
      <c r="E41" s="5" t="inlineStr">
        <is>
          <t>Active</t>
        </is>
      </c>
      <c r="F41" s="5" t="n">
        <v>12</v>
      </c>
      <c r="G41" s="5" t="inlineStr">
        <is>
          <t>SanctuarySky</t>
        </is>
      </c>
      <c r="H41" s="5" t="inlineStr">
        <is>
          <t>ENVIRONMENT</t>
        </is>
      </c>
      <c r="I41" s="5" t="inlineStr">
        <is>
          <t>Sacred Adventures — sanctuary part 11 of N: SKY · CLOUDS + BIRDS. Anu domain: ENVIRONMENT. Atmosphere layer that lives between the sky dome and the meadow. Two pieces: • Cloud puffs — 9 low-poly cumulus shapes (clustered icospheres painted soft white) drifting slowly on the wind. Each cloud is a small group of 2-3 overlapping spheres so the silhouette reads soft, not perfect. • Distant birds — 16 tiny dark "V" sprites circling at high altitude. They're billboard quads with a baked bird-silhouette canvas texture, billboarded to always face the camera. Cheap, alive, magical. Triangle target: clo</t>
        </is>
      </c>
      <c r="J41" s="5" t="inlineStr">
        <is>
          <t>312 lines, 11.0 KB. update() at L249 (48 lines).</t>
        </is>
      </c>
      <c r="K41" s="5" t="inlineStr">
        <is>
          <t>MOD-098</t>
        </is>
      </c>
      <c r="L41" s="5" t="inlineStr"/>
      <c r="M41" s="5" t="inlineStr"/>
      <c r="N41" s="5" t="inlineStr">
        <is>
          <t>__sanctuaryAvatar</t>
        </is>
      </c>
      <c r="O41" s="5" t="inlineStr"/>
      <c r="P41" s="5" t="inlineStr"/>
      <c r="Q41" s="5" t="inlineStr"/>
      <c r="R41" s="5" t="inlineStr"/>
      <c r="S41" s="5" t="inlineStr"/>
      <c r="T41" s="5" t="inlineStr">
        <is>
          <t>Yes</t>
        </is>
      </c>
      <c r="U41" s="5" t="inlineStr"/>
      <c r="V41" s="5" t="n">
        <v>1</v>
      </c>
      <c r="W41" s="5" t="inlineStr">
        <is>
          <t>2026-05-19 feat(full-session): fishing overhaul, FPS fix, dock elevation, clean world, sanctuary v2</t>
        </is>
      </c>
      <c r="X41" s="5" t="inlineStr"/>
      <c r="Y41" s="6" t="n">
        <v>312</v>
      </c>
    </row>
    <row r="42">
      <c r="A42" s="5" t="inlineStr">
        <is>
          <t>MOD-038</t>
        </is>
      </c>
      <c r="B42" s="5" t="inlineStr">
        <is>
          <t>js/sanctuary/SanctuaryTipiNpcs.js</t>
        </is>
      </c>
      <c r="C42" s="5" t="inlineStr">
        <is>
          <t>SUB-09</t>
        </is>
      </c>
      <c r="D42" s="5" t="inlineStr">
        <is>
          <t>Population (NPCs)</t>
        </is>
      </c>
      <c r="E42" s="5" t="inlineStr">
        <is>
          <t>Active</t>
        </is>
      </c>
      <c r="F42" s="5" t="n">
        <v>29</v>
      </c>
      <c r="G42" s="5" t="inlineStr">
        <is>
          <t>SanctuaryTipiNpcs</t>
        </is>
      </c>
      <c r="H42" s="5" t="inlineStr"/>
      <c r="I42" s="5" t="inlineStr">
        <is>
          <t>Sacred Adventures — sanctuary seated NPCs (v2 1:1). Yellow Butterfly @ Tipi 1, BHG @ Tipi 2 — same scale, seat offsets, photoreal gold/wood travel discs, and facing arrows as v2 World.</t>
        </is>
      </c>
      <c r="J42" s="5" t="inlineStr">
        <is>
          <t>367 lines, 13.2 KB. update() at L304 (42 lines). Writes 1 globals.</t>
        </is>
      </c>
      <c r="K42" s="5" t="inlineStr">
        <is>
          <t>MOD-082, MOD-098, MOD-099, MOD-103, MOD-104</t>
        </is>
      </c>
      <c r="L42" s="5" t="inlineStr"/>
      <c r="M42" s="5" t="inlineStr">
        <is>
          <t>__regenerateTipiNpcs</t>
        </is>
      </c>
      <c r="N42" s="5" t="inlineStr">
        <is>
          <t>__sanctuaryAvatar; __sanctuaryMapType; __sanctuaryTipi1Anchor; __sanctuaryTipi1PlatMesh; __sanctuaryTipi1Yaw; __sanctuaryTipi2Anchor; __sanctuaryTipi2PlatMesh; __sanctuaryTipi2Yaw; __sanctuaryTipi4Anchor; __sanctuaryTipi4PlatMesh; __sanctuaryTipi4Yaw</t>
        </is>
      </c>
      <c r="O42" s="5" t="inlineStr"/>
      <c r="P42" s="5" t="inlineStr"/>
      <c r="Q42" s="5" t="inlineStr"/>
      <c r="R42" s="5" t="inlineStr"/>
      <c r="S42" s="5" t="inlineStr">
        <is>
          <t>Assets/NPC.BHG.glb; Assets/NPC.REG.lite.glb; Assets/NPC.YB.glb</t>
        </is>
      </c>
      <c r="T42" s="5" t="inlineStr">
        <is>
          <t>Yes</t>
        </is>
      </c>
      <c r="U42" s="5" t="inlineStr"/>
      <c r="V42" s="5" t="n">
        <v>4</v>
      </c>
      <c r="W42" s="5" t="inlineStr">
        <is>
          <t>2026-10-22 perf(assets): lite REG + tipi models (PLN-01, PLN-02)</t>
        </is>
      </c>
      <c r="X42" s="5" t="inlineStr">
        <is>
          <t>FND-01, FND-03</t>
        </is>
      </c>
      <c r="Y42" s="6" t="n">
        <v>367</v>
      </c>
    </row>
    <row r="43">
      <c r="A43" s="5" t="inlineStr">
        <is>
          <t>MOD-039</t>
        </is>
      </c>
      <c r="B43" s="5" t="inlineStr">
        <is>
          <t>js/sanctuary/SanctuaryTipis.js</t>
        </is>
      </c>
      <c r="C43" s="5" t="inlineStr">
        <is>
          <t>SUB-10</t>
        </is>
      </c>
      <c r="D43" s="5" t="inlineStr">
        <is>
          <t>Structures &amp; village building</t>
        </is>
      </c>
      <c r="E43" s="5" t="inlineStr">
        <is>
          <t>Active</t>
        </is>
      </c>
      <c r="F43" s="5" t="n">
        <v>28</v>
      </c>
      <c r="G43" s="5" t="inlineStr">
        <is>
          <t>SanctuaryTipis</t>
        </is>
      </c>
      <c r="H43" s="5" t="inlineStr"/>
      <c r="I43" s="5" t="inlineStr">
        <is>
          <t>Sacred Adventures — sanctuary: v2 tipis (1:1 structures). Loads the same yellow-butterfly GLB, sacred wooden platforms, 7.2 m scale, and BHG stripe shader as `js/v2/WorldStructures.js` — placed at v2 village coordinates so they sit beside the sanctuary pool at (0,0).</t>
        </is>
      </c>
      <c r="J43" s="5" t="inlineStr">
        <is>
          <t>558 lines, 20.5 KB. update() at L495 (0 lines). Writes 18 globals.</t>
        </is>
      </c>
      <c r="K43" s="5" t="inlineStr">
        <is>
          <t>MOD-027, MOD-080, MOD-082, MOD-098, MOD-103, MOD-104</t>
        </is>
      </c>
      <c r="L43" s="5" t="inlineStr"/>
      <c r="M43" s="5" t="inlineStr">
        <is>
          <t>__regenerateTipis; __sanctuaryTipi1Anchor; __sanctuaryTipi1DeckTopY; __sanctuaryTipi1PlatMesh; __sanctuaryTipi1Yaw; __sanctuaryTipi2Anchor; __sanctuaryTipi2DeckTopY; __sanctuaryTipi2PlatMesh; __sanctuaryTipi2Yaw; __sanctuaryTipi3Anchor; __sanctuaryTipi3DeckTopY; __sanctuaryTipi3PlatMesh; __sanctuaryTipi3Yaw; __sanctuaryTipi4Anchor; __sanctuaryTipi4DeckTopY; __sanctuaryTipi4PlatMesh; __sanctuaryTipi4Yaw; sanctuaryMoveTipi</t>
        </is>
      </c>
      <c r="N43" s="5" t="inlineStr">
        <is>
          <t>__sanctuaryMapType</t>
        </is>
      </c>
      <c r="O43" s="5" t="inlineStr"/>
      <c r="P43" s="5" t="inlineStr"/>
      <c r="Q43" s="5" t="inlineStr"/>
      <c r="R43" s="5" t="inlineStr"/>
      <c r="S43" s="5" t="inlineStr">
        <is>
          <t>Assets/Tipi.yellowbutterfly/tipi.yellowbutterfly.lite.glb</t>
        </is>
      </c>
      <c r="T43" s="5" t="inlineStr">
        <is>
          <t>Yes</t>
        </is>
      </c>
      <c r="U43" s="5" t="inlineStr"/>
      <c r="V43" s="5" t="n">
        <v>7</v>
      </c>
      <c r="W43" s="5" t="inlineStr">
        <is>
          <t>2026-10-22 perf(assets): lite REG + tipi models (PLN-01, PLN-02)</t>
        </is>
      </c>
      <c r="X43" s="5" t="inlineStr">
        <is>
          <t>FND-02</t>
        </is>
      </c>
      <c r="Y43" s="6" t="n">
        <v>558</v>
      </c>
    </row>
    <row r="44">
      <c r="A44" s="5" t="inlineStr">
        <is>
          <t>MOD-040</t>
        </is>
      </c>
      <c r="B44" s="5" t="inlineStr">
        <is>
          <t>js/sanctuary/SanctuaryToolPalette.js</t>
        </is>
      </c>
      <c r="C44" s="5" t="inlineStr">
        <is>
          <t>SUB-10</t>
        </is>
      </c>
      <c r="D44" s="5" t="inlineStr">
        <is>
          <t>Structures &amp; village building</t>
        </is>
      </c>
      <c r="E44" s="5" t="inlineStr">
        <is>
          <t>Active</t>
        </is>
      </c>
      <c r="F44" s="5" t="n">
        <v>22</v>
      </c>
      <c r="G44" s="5" t="inlineStr">
        <is>
          <t>SanctuaryToolPalette</t>
        </is>
      </c>
      <c r="H44" s="5" t="inlineStr"/>
      <c r="I44" s="5" t="inlineStr">
        <is>
          <t>Sacred Adventures — Village Build Panel A "FLORA &amp; BUILD" panel that attaches FLUSH BELOW the OrchestratorHud (the brown "60 FPS" panel, top-right). Visible ONLY in Village View (body.v4-top-down-view). Looks like a single unified unit with the HUD above it. Layout: 2-column grid of mold-tool tiles + GENERATE / CLEAR scene buttons. Positioning: ResizeObserver on #v2-orchestrator-hud so the panel tracks the HUD's height as accordions expand/collapse. Tool set matches SanctuaryMutations.TOOLS vocabulary: SELECT · HILL · TREE · FLOWER · BUSH · LILY · ROCK · TIPI</t>
        </is>
      </c>
      <c r="J44" s="5" t="inlineStr">
        <is>
          <t>521 lines, 17.7 KB. update() at L506 (0 lines). Writes 2 globals.</t>
        </is>
      </c>
      <c r="K44" s="5" t="inlineStr">
        <is>
          <t>MOD-098</t>
        </is>
      </c>
      <c r="L44" s="5" t="inlineStr"/>
      <c r="M44" s="5" t="inlineStr">
        <is>
          <t>__sanctuaryMapType; __sanctuaryMoldTool</t>
        </is>
      </c>
      <c r="N44" s="5" t="inlineStr">
        <is>
          <t>SanctuaryGround; SanctuaryMutations; __regenerateBraziers; __regenerateDock; __regeneratePoolObjects; __regenerateTerrain; __regenerateTipiNpcs; __regenerateTipis</t>
        </is>
      </c>
      <c r="O44" s="5" t="inlineStr"/>
      <c r="P44" s="5" t="inlineStr"/>
      <c r="Q44" s="5" t="inlineStr"/>
      <c r="R44" s="5" t="inlineStr"/>
      <c r="S44" s="5" t="inlineStr"/>
      <c r="T44" s="5" t="inlineStr">
        <is>
          <t>Yes</t>
        </is>
      </c>
      <c r="U44" s="5" t="inlineStr"/>
      <c r="V44" s="5" t="n">
        <v>5</v>
      </c>
      <c r="W44" s="5" t="inlineStr">
        <is>
          <t>2026-06-01 feat(mobile): village build panel → neumorphic bottom sheet + de-dupe map</t>
        </is>
      </c>
      <c r="X44" s="5" t="inlineStr">
        <is>
          <t>FND-24</t>
        </is>
      </c>
      <c r="Y44" s="6" t="n">
        <v>521</v>
      </c>
    </row>
    <row r="45">
      <c r="A45" s="5" t="inlineStr">
        <is>
          <t>MOD-041</t>
        </is>
      </c>
      <c r="B45" s="5" t="inlineStr">
        <is>
          <t>js/sanctuary/SanctuaryTravelDisc.js</t>
        </is>
      </c>
      <c r="C45" s="5" t="inlineStr">
        <is>
          <t>SUB-08</t>
        </is>
      </c>
      <c r="D45" s="5" t="inlineStr">
        <is>
          <t>Player</t>
        </is>
      </c>
      <c r="E45" s="5" t="inlineStr">
        <is>
          <t>Imported library (no module lifecycle)</t>
        </is>
      </c>
      <c r="F45" s="5" t="n"/>
      <c r="G45" s="5" t="inlineStr"/>
      <c r="H45" s="5" t="inlineStr"/>
      <c r="I45" s="5" t="inlineStr">
        <is>
          <t>v2 photoreal travel disc + ring + facing arrow (legacy `TravelFloorCircleMaterials.js`). Replaces the May-18 canvas-baked decals that read flat/cheap compared to the main game's gold-green shader circles.</t>
        </is>
      </c>
      <c r="J45" s="5" t="inlineStr">
        <is>
          <t>206 lines, 8.6 KB. No update().</t>
        </is>
      </c>
      <c r="K45" s="5" t="inlineStr">
        <is>
          <t>MOD-098, MOD-099, MOD-103</t>
        </is>
      </c>
      <c r="L45" s="5" t="inlineStr">
        <is>
          <t>MOD-011</t>
        </is>
      </c>
      <c r="M45" s="5" t="inlineStr"/>
      <c r="N45" s="5" t="inlineStr"/>
      <c r="O45" s="5" t="inlineStr"/>
      <c r="P45" s="5" t="inlineStr"/>
      <c r="Q45" s="5" t="inlineStr"/>
      <c r="R45" s="5" t="inlineStr"/>
      <c r="S45" s="5" t="inlineStr"/>
      <c r="T45" s="5" t="inlineStr"/>
      <c r="U45" s="5" t="inlineStr"/>
      <c r="V45" s="5" t="n">
        <v>4</v>
      </c>
      <c r="W45" s="5" t="inlineStr">
        <is>
          <t>2026-05-28 fix(avatar,decals): player disc body renderOrder 8 -&gt; 18 + depthTest:false so it paints over dock</t>
        </is>
      </c>
      <c r="X45" s="5" t="inlineStr"/>
      <c r="Y45" s="6" t="n">
        <v>206</v>
      </c>
    </row>
    <row r="46">
      <c r="A46" s="5" t="inlineStr">
        <is>
          <t>MOD-042</t>
        </is>
      </c>
      <c r="B46" s="5" t="inlineStr">
        <is>
          <t>js/sanctuary/SanctuaryVillagePad.js</t>
        </is>
      </c>
      <c r="C46" s="5" t="inlineStr">
        <is>
          <t>SUB-10</t>
        </is>
      </c>
      <c r="D46" s="5" t="inlineStr">
        <is>
          <t>Structures &amp; village building</t>
        </is>
      </c>
      <c r="E46" s="5" t="inlineStr">
        <is>
          <t>Active</t>
        </is>
      </c>
      <c r="F46" s="5" t="n">
        <v>27</v>
      </c>
      <c r="G46" s="5" t="inlineStr">
        <is>
          <t>SanctuaryVillagePad</t>
        </is>
      </c>
      <c r="H46" s="5" t="inlineStr">
        <is>
          <t>STRUCTURES</t>
        </is>
      </c>
      <c r="I46" s="5" t="inlineStr">
        <is>
          <t>Sacred Adventures — sanctuary part 22 of N: VILLAGE BUILD PAD. Anu domain: STRUCTURES. A flat raised stone platform on the east side of the valley (opposite the dock) — the "future home" marker where Tipi 1 + Tipi 2 will phase back in when those models are brought over from v2. For now the pad reads as sacred ground waiting to be filled: chunky hex-plate ringed by short standing stones, a soft golden inner glow, and a single planting socket marker at the centre. Why a single pad (not two): the user's eventual plan is two tipis but for the kid-pad-of-possibility this turn we ship ONE clearly- m</t>
        </is>
      </c>
      <c r="J46" s="5" t="inlineStr">
        <is>
          <t>204 lines, 7.4 KB. update() at L184 (5 lines). Writes 1 globals.</t>
        </is>
      </c>
      <c r="K46" s="5" t="inlineStr">
        <is>
          <t>MOD-027, MOD-098</t>
        </is>
      </c>
      <c r="L46" s="5" t="inlineStr"/>
      <c r="M46" s="5" t="inlineStr">
        <is>
          <t>__sanctuaryVillagePad</t>
        </is>
      </c>
      <c r="N46" s="5" t="inlineStr"/>
      <c r="O46" s="5" t="inlineStr"/>
      <c r="P46" s="5" t="inlineStr"/>
      <c r="Q46" s="5" t="inlineStr"/>
      <c r="R46" s="5" t="inlineStr"/>
      <c r="S46" s="5" t="inlineStr"/>
      <c r="T46" s="5" t="inlineStr">
        <is>
          <t>Yes</t>
        </is>
      </c>
      <c r="U46" s="5" t="inlineStr"/>
      <c r="V46" s="5" t="n">
        <v>1</v>
      </c>
      <c r="W46" s="5" t="inlineStr">
        <is>
          <t>2026-05-19 feat(full-session): fishing overhaul, FPS fix, dock elevation, clean world, sanctuary v2</t>
        </is>
      </c>
      <c r="X46" s="5" t="inlineStr"/>
      <c r="Y46" s="6" t="n">
        <v>204</v>
      </c>
    </row>
    <row r="47">
      <c r="A47" s="5" t="inlineStr">
        <is>
          <t>MOD-043</t>
        </is>
      </c>
      <c r="B47" s="5" t="inlineStr">
        <is>
          <t>js/sanctuary/SanctuaryWaterFootsteps.js</t>
        </is>
      </c>
      <c r="C47" s="5" t="inlineStr">
        <is>
          <t>SUB-08</t>
        </is>
      </c>
      <c r="D47" s="5" t="inlineStr">
        <is>
          <t>Player</t>
        </is>
      </c>
      <c r="E47" s="5" t="inlineStr">
        <is>
          <t>Active</t>
        </is>
      </c>
      <c r="F47" s="5" t="n">
        <v>10</v>
      </c>
      <c r="G47" s="5" t="inlineStr">
        <is>
          <t>SanctuaryWaterFootsteps</t>
        </is>
      </c>
      <c r="H47" s="5" t="inlineStr">
        <is>
          <t>PLAYER</t>
        </is>
      </c>
      <c r="I47" s="5" t="inlineStr">
        <is>
          <t>Sacred Adventures — sanctuary: FOOTSTEP SOUNDS. Two looping sounds driven by avatar position + speed: • avatar-walking.mp3 — plays when moving on land. • water-walking.mp3 — plays (instead) when moving inside the pond. Both use plain &lt;audio&gt; elements — no AudioContext dependency. Volume is lerped each frame for smooth fade in/out. Anu domain: PLAYER.</t>
        </is>
      </c>
      <c r="J47" s="5" t="inlineStr">
        <is>
          <t>115 lines, 3.4 KB. update() at L57 (26 lines).</t>
        </is>
      </c>
      <c r="K47" s="5" t="inlineStr">
        <is>
          <t>MOD-027, MOD-098</t>
        </is>
      </c>
      <c r="L47" s="5" t="inlineStr"/>
      <c r="M47" s="5" t="inlineStr"/>
      <c r="N47" s="5" t="inlineStr">
        <is>
          <t>__sanctuaryAvatar; __sanctuaryMuted</t>
        </is>
      </c>
      <c r="O47" s="5" t="inlineStr"/>
      <c r="P47" s="5" t="inlineStr"/>
      <c r="Q47" s="5" t="inlineStr"/>
      <c r="R47" s="5" t="inlineStr"/>
      <c r="S47" s="5" t="inlineStr">
        <is>
          <t>Assets/sounds/avatar-walking.mp3; Assets/sounds/water-walking.mp3</t>
        </is>
      </c>
      <c r="T47" s="5" t="inlineStr"/>
      <c r="U47" s="5" t="inlineStr"/>
      <c r="V47" s="5" t="n">
        <v>2</v>
      </c>
      <c r="W47" s="5" t="inlineStr">
        <is>
          <t>2026-05-29 feat(sanctuary): center-screen responsive welcome guide, organic shore, and mossy boulders</t>
        </is>
      </c>
      <c r="X47" s="5" t="inlineStr"/>
      <c r="Y47" s="6" t="n">
        <v>115</v>
      </c>
    </row>
    <row r="48">
      <c r="A48" s="5" t="inlineStr">
        <is>
          <t>MOD-044</t>
        </is>
      </c>
      <c r="B48" s="5" t="inlineStr">
        <is>
          <t>js/sanctuary/SanctuaryWeather.js</t>
        </is>
      </c>
      <c r="C48" s="5" t="inlineStr">
        <is>
          <t>SUB-06</t>
        </is>
      </c>
      <c r="D48" s="5" t="inlineStr">
        <is>
          <t>World environment</t>
        </is>
      </c>
      <c r="E48" s="5" t="inlineStr">
        <is>
          <t>Active</t>
        </is>
      </c>
      <c r="F48" s="5" t="n">
        <v>37</v>
      </c>
      <c r="G48" s="5" t="inlineStr">
        <is>
          <t>SanctuaryWeather</t>
        </is>
      </c>
      <c r="H48" s="5" t="inlineStr">
        <is>
          <t>ENVIRONMENT</t>
        </is>
      </c>
      <c r="I48" s="5" t="inlineStr">
        <is>
          <t xml:space="preserve">Sacred Adventures — sanctuary part 31 of N: WEATHER. Anu domain: ENVIRONMENT. Rain (and the ambient mood that comes with it). One toggle on the controls bar — when on: • Rain is rendered as a single `THREE.Points` cloud above the player (~1800 droplets), wrapping in a 30 m radius column. Each droplet falls at ~9 m/s with a small horizontal drift so the rain reads as a sheet, not a vertical waterfall. • Sky tints cooler + dims by 22 % (we mute the directional light + drop ambient saturation). • A soft pink-noise "rain hiss" bed is added to the ambient mix (we trigger an event the AmbientModule </t>
        </is>
      </c>
      <c r="J48" s="5" t="inlineStr">
        <is>
          <t>209 lines, 7.1 KB. update() at L146 (44 lines).</t>
        </is>
      </c>
      <c r="K48" s="5" t="inlineStr">
        <is>
          <t>MOD-098</t>
        </is>
      </c>
      <c r="L48" s="5" t="inlineStr"/>
      <c r="M48" s="5" t="inlineStr"/>
      <c r="N48" s="5" t="inlineStr">
        <is>
          <t>__sanctuaryAvatar; dispatchEvent</t>
        </is>
      </c>
      <c r="O48" s="5" t="inlineStr"/>
      <c r="P48" s="5" t="inlineStr"/>
      <c r="Q48" s="5" t="inlineStr"/>
      <c r="R48" s="5" t="inlineStr">
        <is>
          <t>dom:anu:weather-change</t>
        </is>
      </c>
      <c r="S48" s="5" t="inlineStr"/>
      <c r="T48" s="5" t="inlineStr">
        <is>
          <t>Yes</t>
        </is>
      </c>
      <c r="U48" s="5" t="inlineStr"/>
      <c r="V48" s="5" t="n">
        <v>1</v>
      </c>
      <c r="W48" s="5" t="inlineStr">
        <is>
          <t>2026-05-19 feat(full-session): fishing overhaul, FPS fix, dock elevation, clean world, sanctuary v2</t>
        </is>
      </c>
      <c r="X48" s="5" t="inlineStr"/>
      <c r="Y48" s="6" t="n">
        <v>209</v>
      </c>
    </row>
    <row r="49">
      <c r="A49" s="5" t="inlineStr">
        <is>
          <t>MOD-045</t>
        </is>
      </c>
      <c r="B49" s="5" t="inlineStr">
        <is>
          <t>js/sanctuary/SanctuaryWelcomeGuide.js</t>
        </is>
      </c>
      <c r="C49" s="5" t="inlineStr">
        <is>
          <t>SUB-13</t>
        </is>
      </c>
      <c r="D49" s="5" t="inlineStr">
        <is>
          <t>UI shell &amp; journal</t>
        </is>
      </c>
      <c r="E49" s="5" t="inlineStr">
        <is>
          <t>Active</t>
        </is>
      </c>
      <c r="F49" s="5" t="n">
        <v>39</v>
      </c>
      <c r="G49" s="5" t="inlineStr">
        <is>
          <t>SanctuaryWelcomeGuide</t>
        </is>
      </c>
      <c r="H49" s="5" t="inlineStr"/>
      <c r="I49" s="5" t="inlineStr">
        <is>
          <t>Sacred Adventures — sanctuary: Welcome Guide. 5-page tutorial overlay shown on first visit (persisted via localStorage). Visual language: 1:1 with the user's preserved screenshot — warm-tone transparent dark background, gold "WELCOME GUIDE" pill, gold title, cream body, page-dots / Skip / Next controls. Palette borrowed from the OrchestratorHud so the guide reads as part of the same visual world: bg : linear-gradient warm browns + 80 % opacity (translucent) gold : #fbc02d / #c6a035 cream : #fff7d0 / #ffe9a8 border: rgba(251,192,45,0.42) Behaviour: • Auto-shows ~1.8 s after orchestrator boot (g</t>
        </is>
      </c>
      <c r="J49" s="5" t="inlineStr">
        <is>
          <t>465 lines, 15.9 KB. No update(). Writes 1 globals.</t>
        </is>
      </c>
      <c r="K49" s="5" t="inlineStr"/>
      <c r="L49" s="5" t="inlineStr"/>
      <c r="M49" s="5" t="inlineStr">
        <is>
          <t>sanctuaryWelcome</t>
        </is>
      </c>
      <c r="N49" s="5" t="inlineStr">
        <is>
          <t>addEventListener; setTimeout</t>
        </is>
      </c>
      <c r="O49" s="5" t="inlineStr"/>
      <c r="P49" s="5" t="inlineStr"/>
      <c r="Q49" s="5" t="inlineStr"/>
      <c r="R49" s="5" t="inlineStr"/>
      <c r="S49" s="5" t="inlineStr"/>
      <c r="T49" s="5" t="inlineStr">
        <is>
          <t>Yes</t>
        </is>
      </c>
      <c r="U49" s="5" t="inlineStr"/>
      <c r="V49" s="5" t="n">
        <v>8</v>
      </c>
      <c r="W49" s="5" t="inlineStr">
        <is>
          <t>2026-05-29 feat(sanctuary): center-screen responsive welcome guide, organic shore, and mossy boulders</t>
        </is>
      </c>
      <c r="X49" s="5" t="inlineStr"/>
      <c r="Y49" s="6" t="n">
        <v>465</v>
      </c>
    </row>
    <row r="50">
      <c r="A50" s="5" t="inlineStr">
        <is>
          <t>MOD-046</t>
        </is>
      </c>
      <c r="B50" s="5" t="inlineStr">
        <is>
          <t>js/sanctuary/SanctuaryWorldPlayerShim.js</t>
        </is>
      </c>
      <c r="C50" s="5" t="inlineStr">
        <is>
          <t>SUB-08</t>
        </is>
      </c>
      <c r="D50" s="5" t="inlineStr">
        <is>
          <t>Player</t>
        </is>
      </c>
      <c r="E50" s="5" t="inlineStr">
        <is>
          <t>Active</t>
        </is>
      </c>
      <c r="F50" s="5" t="n">
        <v>11</v>
      </c>
      <c r="G50" s="5" t="inlineStr">
        <is>
          <t>SanctuaryWorldPlayerShim</t>
        </is>
      </c>
      <c r="H50" s="5" t="inlineStr"/>
      <c r="I50" s="5" t="inlineStr">
        <is>
          <t>Sacred Adventures — sanctuary part 35 of N: WORLDPLAYER SHIM. Bridges the v2 orchestrator's PIP pipeline (which expects a `WorldPlayer` runtime service with `{ feet, yaw, mainCanvasMapView }`) to v4's `SanctuaryAvatar` (which exposes `window.__sanctuaryAvatar` + `window.__sanctuaryPlayerYaw`). **Why this is needed:** the orchestrator's `_renderPip()` bails out if `getRuntimeService("WorldPlayer")` returns nothing — that was the direct cause of "PIP is broken" in v4. v4 doesn't load WorldPlayer (that's a v2-world-specific module with terrain colliders, autowalk, etc.); we just need the three sh</t>
        </is>
      </c>
      <c r="J50" s="5" t="inlineStr">
        <is>
          <t>86 lines, 2.7 KB. update() at L69 (5 lines). Writes 2 globals.</t>
        </is>
      </c>
      <c r="K50" s="5" t="inlineStr">
        <is>
          <t>MOD-061</t>
        </is>
      </c>
      <c r="L50" s="5" t="inlineStr"/>
      <c r="M50" s="5" t="inlineStr">
        <is>
          <t>WorldPhysics; WorldPlayer</t>
        </is>
      </c>
      <c r="N50" s="5" t="inlineStr">
        <is>
          <t>__sanctuaryAvatar; __sanctuaryPlayerYaw</t>
        </is>
      </c>
      <c r="O50" s="5" t="inlineStr"/>
      <c r="P50" s="5" t="inlineStr"/>
      <c r="Q50" s="5" t="inlineStr">
        <is>
          <t>WorldPlayer; uses:WorldPlayer</t>
        </is>
      </c>
      <c r="R50" s="5" t="inlineStr"/>
      <c r="S50" s="5" t="inlineStr"/>
      <c r="T50" s="5" t="inlineStr"/>
      <c r="U50" s="5" t="inlineStr"/>
      <c r="V50" s="5" t="n">
        <v>2</v>
      </c>
      <c r="W50" s="5" t="inlineStr">
        <is>
          <t>2026-05-24 Fix compass PIP letters rightside up and register Antigravity in Anu governance</t>
        </is>
      </c>
      <c r="X50" s="5" t="inlineStr"/>
      <c r="Y50" s="6" t="n">
        <v>86</v>
      </c>
    </row>
    <row r="51">
      <c r="A51" s="5" t="inlineStr">
        <is>
          <t>MOD-047</t>
        </is>
      </c>
      <c r="B51" s="5" t="inlineStr">
        <is>
          <t>js/sanctuary/SanctuaryWorldTemplate.js</t>
        </is>
      </c>
      <c r="C51" s="5" t="inlineStr">
        <is>
          <t>SUB-16</t>
        </is>
      </c>
      <c r="D51" s="5" t="inlineStr">
        <is>
          <t>Legacy / unused code</t>
        </is>
      </c>
      <c r="E51" s="5" t="inlineStr">
        <is>
          <t>Unreferenced by any entry page</t>
        </is>
      </c>
      <c r="F51" s="5" t="n"/>
      <c r="G51" s="5" t="inlineStr">
        <is>
          <t>MyKidWorld</t>
        </is>
      </c>
      <c r="H51" s="5" t="inlineStr"/>
      <c r="I51" s="5" t="inlineStr">
        <is>
          <t>Sacred Adventures — KID WORLD TEMPLATE. Copy this file, rename the export + the `name` field, and you have a brand-new world module that plugs into the same Anu / PIP / Panel / Journal pipeline every other sanctuary module uses. The orchestrator picks it up the moment you `register()` + `activate()` it. ┌─────────────────────────────────────────────────────────────────┐ │ THE FIVE THINGS EVERY KID WORLD KNOWS │ ├─────────────────────────────────────────────────────────────────┤ │ 1. WHERE IT LIVES — Anu domain it owns (one of the 8 below). │ │ 2. WHAT IT BUILDS — meshes/groups it adds to the s</t>
        </is>
      </c>
      <c r="J51" s="5" t="inlineStr">
        <is>
          <t>243 lines, 10.7 KB. update() at L205 (8 lines).</t>
        </is>
      </c>
      <c r="K51" s="5" t="inlineStr">
        <is>
          <t>MOD-027, MOD-093, MOD-098, MOD-100</t>
        </is>
      </c>
      <c r="L51" s="5" t="inlineStr"/>
      <c r="M51" s="5" t="inlineStr"/>
      <c r="N51" s="5" t="inlineStr">
        <is>
          <t>SanctuaryMutations; anuOrchestrator; postMessage</t>
        </is>
      </c>
      <c r="O51" s="5" t="inlineStr">
        <is>
          <t>SOMETHING</t>
        </is>
      </c>
      <c r="P51" s="5" t="inlineStr"/>
      <c r="Q51" s="5" t="inlineStr"/>
      <c r="R51" s="5" t="inlineStr">
        <is>
          <t>MY_KID_WORLD_HELLO; YOUR_EVENT</t>
        </is>
      </c>
      <c r="S51" s="5" t="inlineStr"/>
      <c r="T51" s="5" t="inlineStr"/>
      <c r="U51" s="5" t="inlineStr"/>
      <c r="V51" s="5" t="n">
        <v>2</v>
      </c>
      <c r="W51" s="5" t="inlineStr">
        <is>
          <t>2026-05-26 refactor: promote index.v4.html → index.html as canonical entry point</t>
        </is>
      </c>
      <c r="X51" s="5" t="inlineStr"/>
      <c r="Y51" s="6" t="n">
        <v>243</v>
      </c>
    </row>
    <row r="52">
      <c r="A52" s="5" t="inlineStr">
        <is>
          <t>MOD-048</t>
        </is>
      </c>
      <c r="B52" s="5" t="inlineStr">
        <is>
          <t>js/sanctuary/SanctuaryZoom.js</t>
        </is>
      </c>
      <c r="C52" s="5" t="inlineStr">
        <is>
          <t>SUB-08</t>
        </is>
      </c>
      <c r="D52" s="5" t="inlineStr">
        <is>
          <t>Player</t>
        </is>
      </c>
      <c r="E52" s="5" t="inlineStr">
        <is>
          <t>Active</t>
        </is>
      </c>
      <c r="F52" s="5" t="n">
        <v>25</v>
      </c>
      <c r="G52" s="5" t="inlineStr">
        <is>
          <t>SanctuaryZoom</t>
        </is>
      </c>
      <c r="H52" s="5" t="inlineStr">
        <is>
          <t>PLAYER</t>
        </is>
      </c>
      <c r="I52" s="5" t="inlineStr">
        <is>
          <t>Sacred Adventures — sanctuary part 20 of N: SCROLL-WHEEL ZOOM. Anu domain: PLAYER (input + intent). Mouse wheel scales the camera distance in both view modes: • FPV / chase view — wheel adjusts a `_zoomFactor` ∈ [0.45, 2.4] that the keyboard-look chase camera reads as a multiplier for CAMERA_BACK and CAMERA_UP. Wheel up = zoom IN toward avatar; wheel down = pull back. • Top-down view — wheel scales the orbital camera Y (height above the world). Range 14 .. 70 m. The tool palette stays usable since the X/Z centre doesn't move. The keyboard-look module reads `window.__sanctuaryZoomFactor` each f</t>
        </is>
      </c>
      <c r="J52" s="5" t="inlineStr">
        <is>
          <t>109 lines, 3.7 KB. update() at L93 (0 lines). Writes 2 globals.</t>
        </is>
      </c>
      <c r="K52" s="5" t="inlineStr"/>
      <c r="L52" s="5" t="inlineStr"/>
      <c r="M52" s="5" t="inlineStr">
        <is>
          <t>__sanctuaryTopDownHeight; __sanctuaryZoomFactor</t>
        </is>
      </c>
      <c r="N52" s="5" t="inlineStr"/>
      <c r="O52" s="5" t="inlineStr"/>
      <c r="P52" s="5" t="inlineStr"/>
      <c r="Q52" s="5" t="inlineStr"/>
      <c r="R52" s="5" t="inlineStr"/>
      <c r="S52" s="5" t="inlineStr"/>
      <c r="T52" s="5" t="inlineStr">
        <is>
          <t>Yes</t>
        </is>
      </c>
      <c r="U52" s="5" t="inlineStr"/>
      <c r="V52" s="5" t="n">
        <v>1</v>
      </c>
      <c r="W52" s="5" t="inlineStr">
        <is>
          <t>2026-05-19 feat(full-session): fishing overhaul, FPS fix, dock elevation, clean world, sanctuary v2</t>
        </is>
      </c>
      <c r="X52" s="5" t="inlineStr"/>
      <c r="Y52" s="6" t="n">
        <v>109</v>
      </c>
    </row>
    <row r="53">
      <c r="A53" s="5" t="inlineStr">
        <is>
          <t>MOD-049</t>
        </is>
      </c>
      <c r="B53" s="5" t="inlineStr">
        <is>
          <t>js/v2/AnuModule.js</t>
        </is>
      </c>
      <c r="C53" s="5" t="inlineStr">
        <is>
          <t>SUB-03</t>
        </is>
      </c>
      <c r="D53" s="5" t="inlineStr">
        <is>
          <t>ANU governance &amp; telemetry</t>
        </is>
      </c>
      <c r="E53" s="5" t="inlineStr">
        <is>
          <t>Active</t>
        </is>
      </c>
      <c r="F53" s="5" t="n">
        <v>1</v>
      </c>
      <c r="G53" s="5" t="inlineStr">
        <is>
          <t>Anu</t>
        </is>
      </c>
      <c r="H53" s="5" t="inlineStr"/>
      <c r="I53" s="5" t="inlineStr">
        <is>
          <t>Anu Universe — AnuModule IS the orchestrator module: the SacredOrchestrator instance (renderer, scene, loop, registry) is Anu's engine shell. window.AnuUniverse exposes governance (pipeline memory, rendering governor, interaction bus). Naming (bulletproof): - Class: SacredOrchestrator (import from Orchestrator.js) - Canonical live singleton: window.anuOrchestrator (same object as AnuUniverse.anuOrchestrator) - Legacy alias: window.Orchestrator (same object — prefer anuOrchestrator) - Discriminator on the live shell: instance.isSacredOrchestratorShell === true Product (governance label): The Em</t>
        </is>
      </c>
      <c r="J53" s="5" t="inlineStr">
        <is>
          <t>561 lines, 20.3 KB. update() at L534 (3 lines, every 240f). Writes 1 globals.</t>
        </is>
      </c>
      <c r="K53" s="5" t="inlineStr">
        <is>
          <t>MOD-061, MOD-100, MOD-101, MOD-102, MOD-103</t>
        </is>
      </c>
      <c r="L53" s="5" t="inlineStr">
        <is>
          <t>MOD-065</t>
        </is>
      </c>
      <c r="M53" s="5" t="inlineStr">
        <is>
          <t>AnuUniverse</t>
        </is>
      </c>
      <c r="N53" s="5" t="inlineStr">
        <is>
          <t>Orchestrator; ThreeIconManager; anuOrchestrator; icons</t>
        </is>
      </c>
      <c r="O53" s="5" t="inlineStr">
        <is>
          <t>FUZZY_PIPELINE_SENSOR; GOVERNANCE_SNAPSHOT; WORLD_SENSORIUM</t>
        </is>
      </c>
      <c r="P53" s="5" t="inlineStr"/>
      <c r="Q53" s="5" t="inlineStr"/>
      <c r="R53" s="5" t="inlineStr"/>
      <c r="S53" s="5" t="inlineStr"/>
      <c r="T53" s="5" t="inlineStr"/>
      <c r="U53" s="5" t="inlineStr">
        <is>
          <t>Yes</t>
        </is>
      </c>
      <c r="V53" s="5" t="n">
        <v>21</v>
      </c>
      <c r="W53" s="5" t="inlineStr">
        <is>
          <t>2026-05-27 fix(hud,anu): unify FPS source on orc.smoothFPS + make .report() return real snapshots</t>
        </is>
      </c>
      <c r="X53" s="5" t="inlineStr"/>
      <c r="Y53" s="6" t="n">
        <v>561</v>
      </c>
    </row>
    <row r="54">
      <c r="A54" s="5" t="inlineStr">
        <is>
          <t>MOD-050</t>
        </is>
      </c>
      <c r="B54" s="5" t="inlineStr">
        <is>
          <t>js/v2/BuildMode.js</t>
        </is>
      </c>
      <c r="C54" s="5" t="inlineStr">
        <is>
          <t>SUB-16</t>
        </is>
      </c>
      <c r="D54" s="5" t="inlineStr">
        <is>
          <t>Legacy / unused code</t>
        </is>
      </c>
      <c r="E54" s="5" t="inlineStr">
        <is>
          <t>Legacy v2 build only (index.v2.html)</t>
        </is>
      </c>
      <c r="F54" s="5" t="n"/>
      <c r="G54" s="5" t="inlineStr">
        <is>
          <t>BuildMode</t>
        </is>
      </c>
      <c r="H54" s="5" t="inlineStr"/>
      <c r="I54" s="5" t="inlineStr">
        <is>
          <t>Sacred Adventures v2 — Build Mode. Two creative modes the player can toggle on top of the regular walking gameplay: • **Seed planting (T)** — click bare grass to drop a seed. The seed grows from a 5 cm sapling through 4 ease-out phases into a full ~5 m tree over `SEED_GROW_MS`. Per-seed wall-clock timestamp so reloads pick up where they left off (a seed planted 20 s ago is 2/3 of the way grown). • **Tipi placement (B)** — click clear ground to drop a procedural tipi marker (cone + flag pole). 10–12 of these is the user's target "village" the kid is building. Persistence: localStorage `v2.build</t>
        </is>
      </c>
      <c r="J54" s="5" t="inlineStr">
        <is>
          <t>973 lines, 34.7 KB. update() at L328 (20 lines). Writes 1 globals.</t>
        </is>
      </c>
      <c r="K54" s="5" t="inlineStr">
        <is>
          <t>MOD-057, MOD-061, MOD-074, MOD-098, MOD-104</t>
        </is>
      </c>
      <c r="L54" s="5" t="inlineStr"/>
      <c r="M54" s="5" t="inlineStr">
        <is>
          <t>_v2BuildClear</t>
        </is>
      </c>
      <c r="N54" s="5" t="inlineStr">
        <is>
          <t>_v2InputSuppressed; addEventListener; anuOrchestrator; localStorage; removeEventListener</t>
        </is>
      </c>
      <c r="O54" s="5" t="inlineStr"/>
      <c r="P54" s="5" t="inlineStr"/>
      <c r="Q54" s="5" t="inlineStr"/>
      <c r="R54" s="5" t="inlineStr"/>
      <c r="S54" s="5" t="inlineStr">
        <is>
          <t>Assets/tree.glb</t>
        </is>
      </c>
      <c r="T54" s="5" t="inlineStr"/>
      <c r="U54" s="5" t="inlineStr">
        <is>
          <t>Yes</t>
        </is>
      </c>
      <c r="V54" s="5" t="n">
        <v>1</v>
      </c>
      <c r="W54" s="5" t="inlineStr">
        <is>
          <t>2026-05-19 feat(full-session): fishing overhaul, FPS fix, dock elevation, clean world, sanctuary v2</t>
        </is>
      </c>
      <c r="X54" s="5" t="inlineStr"/>
      <c r="Y54" s="6" t="n">
        <v>973</v>
      </c>
    </row>
    <row r="55">
      <c r="A55" s="5" t="inlineStr">
        <is>
          <t>MOD-051</t>
        </is>
      </c>
      <c r="B55" s="5" t="inlineStr">
        <is>
          <t>js/v2/BuildingPanelUI.js</t>
        </is>
      </c>
      <c r="C55" s="5" t="inlineStr">
        <is>
          <t>SUB-10</t>
        </is>
      </c>
      <c r="D55" s="5" t="inlineStr">
        <is>
          <t>Structures &amp; village building</t>
        </is>
      </c>
      <c r="E55" s="5" t="inlineStr">
        <is>
          <t>Imported library (no module lifecycle)</t>
        </is>
      </c>
      <c r="F55" s="5" t="n"/>
      <c r="G55" s="5" t="inlineStr"/>
      <c r="H55" s="5" t="inlineStr"/>
      <c r="I55" s="5" t="inlineStr">
        <is>
          <t>Sacred Adventures — BuildingPanelUI (BLD-1: building-types panel, list-only) A self-initializing left-side panel shown ONLY in Village (top-down) view, listing the village building TYPES — Tipi 1/2/3, Fish Dock, Sacred Pool. List-only this pass: the (+) affordance is disabled ("coming soon") — no placement yet. Neumorphic dark-brown HUD theme to match the rest of the chrome. Consumes window.SanctuaryBuildings (the registry) when present; otherwise degrades to a static list so it always renders. Re-renders on `sanctuary:buildings:changed`. (Built per scaffold_building_registry.md — user 2026-06</t>
        </is>
      </c>
      <c r="J55" s="5" t="inlineStr">
        <is>
          <t>150 lines, 5.4 KB. No update().</t>
        </is>
      </c>
      <c r="K55" s="5" t="inlineStr"/>
      <c r="L55" s="5" t="inlineStr"/>
      <c r="M55" s="5" t="inlineStr"/>
      <c r="N55" s="5" t="inlineStr">
        <is>
          <t>SanctuaryBuildings; addEventListener</t>
        </is>
      </c>
      <c r="O55" s="5" t="inlineStr"/>
      <c r="P55" s="5" t="inlineStr"/>
      <c r="Q55" s="5" t="inlineStr"/>
      <c r="R55" s="5" t="inlineStr"/>
      <c r="S55" s="5" t="inlineStr"/>
      <c r="T55" s="5" t="inlineStr"/>
      <c r="U55" s="5" t="inlineStr"/>
      <c r="V55" s="5" t="n">
        <v>1</v>
      </c>
      <c r="W55" s="5" t="inlineStr">
        <is>
          <t>2026-06-03 feat(village): building-types panel in village view (Tipi/Dock/Pool, list-only)</t>
        </is>
      </c>
      <c r="X55" s="5" t="inlineStr"/>
      <c r="Y55" s="6" t="n">
        <v>150</v>
      </c>
    </row>
    <row r="56">
      <c r="A56" s="5" t="inlineStr">
        <is>
          <t>MOD-052</t>
        </is>
      </c>
      <c r="B56" s="5" t="inlineStr">
        <is>
          <t>js/v2/ClickToMoveMarker.js</t>
        </is>
      </c>
      <c r="C56" s="5" t="inlineStr">
        <is>
          <t>SUB-16</t>
        </is>
      </c>
      <c r="D56" s="5" t="inlineStr">
        <is>
          <t>Legacy / unused code</t>
        </is>
      </c>
      <c r="E56" s="5" t="inlineStr">
        <is>
          <t>Legacy v2 build only (index.v2.html)</t>
        </is>
      </c>
      <c r="F56" s="5" t="n"/>
      <c r="G56" s="5" t="inlineStr"/>
      <c r="H56" s="5" t="inlineStr"/>
      <c r="I56" s="5" t="inlineStr">
        <is>
          <t>Sacred Adventures v2 — click-to-move visual marker. Two pieces: • A small gold "X" lying flat on the ground at the click destination. • A treasure-map trail of yellow semi-transparent FOOTPRINTS from the player toward the X (May-15 2026 user spec: "change dash line to yellow semi transparent footprints on top of the landscape … to the X like a treasure map"). Each footprint follows the heightfield (per-print `terrainY` sample), and alternating prints are offset ± perpendicular to the path so the trail reads as left-foot / right-foot footsteps rather than a single line. Lifecycle (driven by Wor</t>
        </is>
      </c>
      <c r="J56" s="5" t="inlineStr">
        <is>
          <t>336 lines, 14.2 KB. No update().</t>
        </is>
      </c>
      <c r="K56" s="5" t="inlineStr">
        <is>
          <t>MOD-061, MOD-098</t>
        </is>
      </c>
      <c r="L56" s="5" t="inlineStr">
        <is>
          <t>MOD-069</t>
        </is>
      </c>
      <c r="M56" s="5" t="inlineStr"/>
      <c r="N56" s="5" t="inlineStr"/>
      <c r="O56" s="5" t="inlineStr"/>
      <c r="P56" s="5" t="inlineStr"/>
      <c r="Q56" s="5" t="inlineStr">
        <is>
          <t>uses:WorldPhysics</t>
        </is>
      </c>
      <c r="R56" s="5" t="inlineStr"/>
      <c r="S56" s="5" t="inlineStr"/>
      <c r="T56" s="5" t="inlineStr"/>
      <c r="U56" s="5" t="inlineStr">
        <is>
          <t>Yes</t>
        </is>
      </c>
      <c r="V56" s="5" t="n">
        <v>1</v>
      </c>
      <c r="W56" s="5" t="inlineStr">
        <is>
          <t>2026-05-19 feat(full-session): fishing overhaul, FPS fix, dock elevation, clean world, sanctuary v2</t>
        </is>
      </c>
      <c r="X56" s="5" t="inlineStr"/>
      <c r="Y56" s="6" t="n">
        <v>336</v>
      </c>
    </row>
    <row r="57">
      <c r="A57" s="5" t="inlineStr">
        <is>
          <t>MOD-053</t>
        </is>
      </c>
      <c r="B57" s="5" t="inlineStr">
        <is>
          <t>js/v2/ConfettiBurst.js</t>
        </is>
      </c>
      <c r="C57" s="5" t="inlineStr">
        <is>
          <t>SUB-16</t>
        </is>
      </c>
      <c r="D57" s="5" t="inlineStr">
        <is>
          <t>Legacy / unused code</t>
        </is>
      </c>
      <c r="E57" s="5" t="inlineStr">
        <is>
          <t>Unreferenced by any entry page</t>
        </is>
      </c>
      <c r="F57" s="5" t="n"/>
      <c r="G57" s="5" t="inlineStr"/>
      <c r="H57" s="5" t="inlineStr"/>
      <c r="I57" s="5" t="inlineStr">
        <is>
          <t>Sacred Adventures v2 — confetti burst particle module. Used by the Quest-1 "Start Game" balloon pop: 150 small flat-plane confetti pieces in a gold + nature palette tumble outward from the balloon, then fall under gravity and air drag until they rest on the terrain as gently-fading colored sparkles. Design: one InstancedMesh draw call for all pieces. Per-instance matrix + color are mutated each tick. Cheap on the GPU; the dominant cost is JS per-tick math on ~150 small particles. Lifecycle: const burst = createConfettiBurst({ scene, origin, terrainY }); // each frame: burst.update(dt); // when</t>
        </is>
      </c>
      <c r="J57" s="5" t="inlineStr">
        <is>
          <t>344 lines, 11.8 KB. No update().</t>
        </is>
      </c>
      <c r="K57" s="5" t="inlineStr">
        <is>
          <t>MOD-098</t>
        </is>
      </c>
      <c r="L57" s="5" t="inlineStr"/>
      <c r="M57" s="5" t="inlineStr"/>
      <c r="N57" s="5" t="inlineStr"/>
      <c r="O57" s="5" t="inlineStr"/>
      <c r="P57" s="5" t="inlineStr"/>
      <c r="Q57" s="5" t="inlineStr"/>
      <c r="R57" s="5" t="inlineStr"/>
      <c r="S57" s="5" t="inlineStr"/>
      <c r="T57" s="5" t="inlineStr"/>
      <c r="U57" s="5" t="inlineStr"/>
      <c r="V57" s="5" t="n">
        <v>1</v>
      </c>
      <c r="W57" s="5" t="inlineStr">
        <is>
          <t>2026-05-19 feat(full-session): fishing overhaul, FPS fix, dock elevation, clean world, sanctuary v2</t>
        </is>
      </c>
      <c r="X57" s="5" t="inlineStr"/>
      <c r="Y57" s="6" t="n">
        <v>344</v>
      </c>
    </row>
    <row r="58">
      <c r="A58" s="5" t="inlineStr">
        <is>
          <t>MOD-054</t>
        </is>
      </c>
      <c r="B58" s="5" t="inlineStr">
        <is>
          <t>js/v2/Fauna.js</t>
        </is>
      </c>
      <c r="C58" s="5" t="inlineStr">
        <is>
          <t>SUB-16</t>
        </is>
      </c>
      <c r="D58" s="5" t="inlineStr">
        <is>
          <t>Legacy / unused code</t>
        </is>
      </c>
      <c r="E58" s="5" t="inlineStr">
        <is>
          <t>Legacy v2 build only (index.v2.html)</t>
        </is>
      </c>
      <c r="F58" s="5" t="n"/>
      <c r="G58" s="5" t="inlineStr">
        <is>
          <t>Fauna</t>
        </is>
      </c>
      <c r="H58" s="5" t="inlineStr"/>
      <c r="I58" s="5" t="inlineStr">
        <is>
          <t>Sacred Adventures v2 — Fauna pillar. • Three rabbit families, each with one adult + two kits. Kits lagomorph-follow their parent (**comfort-radius PD** + exploratory lateral sway) behind mom’s hips; turn‑first steering; gravity‑limited hops (kits ≤ **2× body length**). • **Saltatory kinematics**: shared gait oscillator modulates forward speed &amp; synchronizes ballistic pushes (mom &amp; kits at different amplitude caps); forward accel is jerk-limited (`MOM_FORWARD_*`, `BABY_FORWARD_*`) — no instantaneous glide from idle to sprint. • **Animation**: the GLB hop/idle clip's `timeScale` tracks horizonta</t>
        </is>
      </c>
      <c r="J58" s="5" t="inlineStr">
        <is>
          <t>2153 lines, 77.1 KB. update() at L1887 (213 lines).</t>
        </is>
      </c>
      <c r="K58" s="5" t="inlineStr">
        <is>
          <t>MOD-061, MOD-083, MOD-103, MOD-104</t>
        </is>
      </c>
      <c r="L58" s="5" t="inlineStr"/>
      <c r="M58" s="5" t="inlineStr"/>
      <c r="N58" s="5" t="inlineStr">
        <is>
          <t>natureSpiritSystem</t>
        </is>
      </c>
      <c r="O58" s="5" t="inlineStr"/>
      <c r="P58" s="5" t="inlineStr"/>
      <c r="Q58" s="5" t="inlineStr">
        <is>
          <t>uses:AnuNatureAwareness; uses:WorldPhysics; uses:WorldPlayer</t>
        </is>
      </c>
      <c r="R58" s="5" t="inlineStr"/>
      <c r="S58" s="5" t="inlineStr">
        <is>
          <t>Assets/rabbit.animated.glb</t>
        </is>
      </c>
      <c r="T58" s="5" t="inlineStr"/>
      <c r="U58" s="5" t="inlineStr">
        <is>
          <t>Yes</t>
        </is>
      </c>
      <c r="V58" s="5" t="n">
        <v>5</v>
      </c>
      <c r="W58" s="5" t="inlineStr">
        <is>
          <t>2026-05-24 fix(fauna): use GLTFLoaderWithDraco for rabbit model loading</t>
        </is>
      </c>
      <c r="X58" s="5" t="inlineStr"/>
      <c r="Y58" s="6" t="n">
        <v>2153</v>
      </c>
    </row>
    <row r="59">
      <c r="A59" s="5" t="inlineStr">
        <is>
          <t>MOD-055</t>
        </is>
      </c>
      <c r="B59" s="5" t="inlineStr">
        <is>
          <t>js/v2/Flora.js</t>
        </is>
      </c>
      <c r="C59" s="5" t="inlineStr">
        <is>
          <t>SUB-16</t>
        </is>
      </c>
      <c r="D59" s="5" t="inlineStr">
        <is>
          <t>Legacy / unused code</t>
        </is>
      </c>
      <c r="E59" s="5" t="inlineStr">
        <is>
          <t>Legacy v2 build only (index.v2.html)</t>
        </is>
      </c>
      <c r="F59" s="5" t="n"/>
      <c r="G59" s="5" t="inlineStr">
        <is>
          <t>Trees</t>
        </is>
      </c>
      <c r="H59" s="5" t="inlineStr"/>
      <c r="I59" s="5" t="inlineStr">
        <is>
          <t>Sacred Adventures v2 — Flora: `Assets/tree.glb` planted with legacy `js/EnvironmentBuilder.js` rings, scaling, foliage tint swatch, accumulated `uTime` wind on canopy leaves plus softer branch/trunk sway on non-foliage meshes, and terrain-hugging dirt discs. v2 differs from legacy only where required for this shell: trees stay on the default scene layer so the main camera (which does not enable legacy layer 3) still draws them.</t>
        </is>
      </c>
      <c r="J59" s="5" t="inlineStr">
        <is>
          <t>1976 lines, 75.5 KB. update() at L1725 (52 lines).</t>
        </is>
      </c>
      <c r="K59" s="5" t="inlineStr">
        <is>
          <t>MOD-056, MOD-057, MOD-061, MOD-093, MOD-094, MOD-098, MOD-100, MOD-103, MOD-104</t>
        </is>
      </c>
      <c r="L59" s="5" t="inlineStr">
        <is>
          <t>MOD-063</t>
        </is>
      </c>
      <c r="M59" s="5" t="inlineStr"/>
      <c r="N59" s="5" t="inlineStr">
        <is>
          <t>WorldPhysics; WorldPlayer; anuOrchestrator</t>
        </is>
      </c>
      <c r="O59" s="5" t="inlineStr"/>
      <c r="P59" s="5" t="inlineStr">
        <is>
          <t>SEASON_CHANGE</t>
        </is>
      </c>
      <c r="Q59" s="5" t="inlineStr">
        <is>
          <t>uses:WorldPhysics; uses:WorldPlayer</t>
        </is>
      </c>
      <c r="R59" s="5" t="inlineStr"/>
      <c r="S59" s="5" t="inlineStr">
        <is>
          <t>Assets/tree.glb</t>
        </is>
      </c>
      <c r="T59" s="5" t="inlineStr"/>
      <c r="U59" s="5" t="inlineStr">
        <is>
          <t>Yes</t>
        </is>
      </c>
      <c r="V59" s="5" t="n">
        <v>9</v>
      </c>
      <c r="W59" s="5" t="inlineStr">
        <is>
          <t>2026-05-30 perf(scene): cull far flora + raise PIP stride + tree frustum-cull/leaf-shadow</t>
        </is>
      </c>
      <c r="X59" s="5" t="inlineStr">
        <is>
          <t>FND-10</t>
        </is>
      </c>
      <c r="Y59" s="6" t="n">
        <v>1976</v>
      </c>
    </row>
    <row r="60">
      <c r="A60" s="5" t="inlineStr">
        <is>
          <t>MOD-056</t>
        </is>
      </c>
      <c r="B60" s="5" t="inlineStr">
        <is>
          <t>js/v2/FloraLegacyTreeLayout.js</t>
        </is>
      </c>
      <c r="C60" s="5" t="inlineStr">
        <is>
          <t>SUB-16</t>
        </is>
      </c>
      <c r="D60" s="5" t="inlineStr">
        <is>
          <t>Legacy / unused code</t>
        </is>
      </c>
      <c r="E60" s="5" t="inlineStr">
        <is>
          <t>Legacy v2 build only (index.v2.html)</t>
        </is>
      </c>
      <c r="F60" s="5" t="n"/>
      <c r="G60" s="5" t="inlineStr"/>
      <c r="H60" s="5" t="inlineStr"/>
      <c r="I60" s="5" t="inlineStr">
        <is>
          <t>Forest slot list — literal reproduction of `js/EnvironmentBuilder.js` (ANIME FOREST block): same `minDistanceSq`, hex snap hook, ring counts, radii, and `tryAddPosition(scale, widthOverride?)` keys. Final headcount depends on overlap rejection — `Flora.js` applies `V2_FLORA_MAX_TREE_INSTANCES` when FPS / triangle budget bites (see ANU_PIPELINE_MEMORY trees-instancing). Uses `Math.random()` like legacy (non-deterministic per page load). When `window.getNearestHexCenter` exists (legacy board), positions snap to hex centers; otherwise raw XZ is kept.</t>
        </is>
      </c>
      <c r="J60" s="5" t="inlineStr">
        <is>
          <t>235 lines, 8.9 KB. No update().</t>
        </is>
      </c>
      <c r="K60" s="5" t="inlineStr">
        <is>
          <t>MOD-103</t>
        </is>
      </c>
      <c r="L60" s="5" t="inlineStr">
        <is>
          <t>MOD-055</t>
        </is>
      </c>
      <c r="M60" s="5" t="inlineStr"/>
      <c r="N60" s="5" t="inlineStr">
        <is>
          <t>getNearestHexCenter</t>
        </is>
      </c>
      <c r="O60" s="5" t="inlineStr"/>
      <c r="P60" s="5" t="inlineStr"/>
      <c r="Q60" s="5" t="inlineStr"/>
      <c r="R60" s="5" t="inlineStr"/>
      <c r="S60" s="5" t="inlineStr"/>
      <c r="T60" s="5" t="inlineStr"/>
      <c r="U60" s="5" t="inlineStr">
        <is>
          <t>Yes</t>
        </is>
      </c>
      <c r="V60" s="5" t="n">
        <v>5</v>
      </c>
      <c r="W60" s="5" t="inlineStr">
        <is>
          <t>2026-05-19 feat(full-session): fishing overhaul, FPS fix, dock elevation, clean world, sanctuary v2</t>
        </is>
      </c>
      <c r="X60" s="5" t="inlineStr"/>
      <c r="Y60" s="6" t="n">
        <v>235</v>
      </c>
    </row>
    <row r="61">
      <c r="A61" s="5" t="inlineStr">
        <is>
          <t>MOD-057</t>
        </is>
      </c>
      <c r="B61" s="5" t="inlineStr">
        <is>
          <t>js/v2/MapsConfig.js</t>
        </is>
      </c>
      <c r="C61" s="5" t="inlineStr">
        <is>
          <t>SUB-15</t>
        </is>
      </c>
      <c r="D61" s="5" t="inlineStr">
        <is>
          <t>Shared config &amp; helpers</t>
        </is>
      </c>
      <c r="E61" s="5" t="inlineStr">
        <is>
          <t>Imported library (no module lifecycle)</t>
        </is>
      </c>
      <c r="F61" s="5" t="n"/>
      <c r="G61" s="5" t="inlineStr"/>
      <c r="H61" s="5" t="inlineStr"/>
      <c r="I61" s="5" t="inlineStr">
        <is>
          <t>Sacred Adventures v2 — Maps registry. Each entry is a snapshot of the dialled terrain + colour + flora parameters that produce a distinct sanctuary look. The active map id is persisted to `localStorage` under `v2.maps.activeId` so it survives page reloads; `window._v2SetMap(id)` swaps and reloads. Module responsibilities reading from the active map: • `WorldTerrain.terrainY` — bowl + hill + mountain heights. • `World.js` per-vertex colour pass — meadow / hill / mountain / snow tinting bands. • Future: build-mode placement bounds, allowed building counts, seed-growth tree-mix overrides. Pond ce</t>
        </is>
      </c>
      <c r="J61" s="5" t="inlineStr">
        <is>
          <t>236 lines, 7.9 KB. No update(). Writes 3 globals.</t>
        </is>
      </c>
      <c r="K61" s="5" t="inlineStr"/>
      <c r="L61" s="5" t="inlineStr">
        <is>
          <t>MOD-050, MOD-055, MOD-060, MOD-069, MOD-083</t>
        </is>
      </c>
      <c r="M61" s="5" t="inlineStr">
        <is>
          <t>_v2ActiveMap; _v2ListMaps; _v2SetMap</t>
        </is>
      </c>
      <c r="N61" s="5" t="inlineStr">
        <is>
          <t>localStorage; location</t>
        </is>
      </c>
      <c r="O61" s="5" t="inlineStr"/>
      <c r="P61" s="5" t="inlineStr"/>
      <c r="Q61" s="5" t="inlineStr"/>
      <c r="R61" s="5" t="inlineStr"/>
      <c r="S61" s="5" t="inlineStr"/>
      <c r="T61" s="5" t="inlineStr"/>
      <c r="U61" s="5" t="inlineStr">
        <is>
          <t>Yes</t>
        </is>
      </c>
      <c r="V61" s="5" t="n">
        <v>7</v>
      </c>
      <c r="W61" s="5" t="inlineStr">
        <is>
          <t>2026-05-29 Revert "chore(maps): force-reset active map in localStorage to scene0 + coordinate handoff"</t>
        </is>
      </c>
      <c r="X61" s="5" t="inlineStr"/>
      <c r="Y61" s="6" t="n">
        <v>236</v>
      </c>
    </row>
    <row r="62">
      <c r="A62" s="5" t="inlineStr">
        <is>
          <t>MOD-058</t>
        </is>
      </c>
      <c r="B62" s="5" t="inlineStr">
        <is>
          <t>js/v2/NPCBehaviour.js</t>
        </is>
      </c>
      <c r="C62" s="5" t="inlineStr">
        <is>
          <t>SUB-09</t>
        </is>
      </c>
      <c r="D62" s="5" t="inlineStr">
        <is>
          <t>Population (NPCs)</t>
        </is>
      </c>
      <c r="E62" s="5" t="inlineStr">
        <is>
          <t>Imported library (no module lifecycle)</t>
        </is>
      </c>
      <c r="F62" s="5" t="n"/>
      <c r="G62" s="5" t="inlineStr"/>
      <c r="H62" s="5" t="inlineStr"/>
      <c r="I62" s="5" t="inlineStr">
        <is>
          <t>Sacred Adventures v2 — tipi-owner proximity behaviour controller. Each tipi has an "owner" NPC. Today only NPC.YB (tipi 1) is wired, but the controller is designed so future tipi owners can drop in without changing World.js (one update-call per frame is already there for each tipi). Behaviour spec (May-2026 user request — wave moved from approach to depart; May-12 follow-up widened the approach trigger from 1.0 → 1.5 tiles): when player is within 1.5 tiles of tipi → NPC stands up and walks to a fixed entrance point in front of the tipi (no wave on approach). On arrival, swap to idle clip and w</t>
        </is>
      </c>
      <c r="J62" s="5" t="inlineStr">
        <is>
          <t>635 lines, 25.1 KB. No update().</t>
        </is>
      </c>
      <c r="K62" s="5" t="inlineStr">
        <is>
          <t>MOD-093, MOD-100, MOD-103</t>
        </is>
      </c>
      <c r="L62" s="5" t="inlineStr">
        <is>
          <t>MOD-082</t>
        </is>
      </c>
      <c r="M62" s="5" t="inlineStr"/>
      <c r="N62" s="5" t="inlineStr"/>
      <c r="O62" s="5" t="inlineStr">
        <is>
          <t>PLAYER_NPC_GREETING</t>
        </is>
      </c>
      <c r="P62" s="5" t="inlineStr"/>
      <c r="Q62" s="5" t="inlineStr"/>
      <c r="R62" s="5" t="inlineStr"/>
      <c r="S62" s="5" t="inlineStr"/>
      <c r="T62" s="5" t="inlineStr"/>
      <c r="U62" s="5" t="inlineStr">
        <is>
          <t>Yes</t>
        </is>
      </c>
      <c r="V62" s="5" t="n">
        <v>3</v>
      </c>
      <c r="W62" s="5" t="inlineStr">
        <is>
          <t>2026-05-19 feat(full-session): fishing overhaul, FPS fix, dock elevation, clean world, sanctuary v2</t>
        </is>
      </c>
      <c r="X62" s="5" t="inlineStr"/>
      <c r="Y62" s="6" t="n">
        <v>635</v>
      </c>
    </row>
    <row r="63">
      <c r="A63" s="5" t="inlineStr">
        <is>
          <t>MOD-059</t>
        </is>
      </c>
      <c r="B63" s="5" t="inlineStr">
        <is>
          <t>js/v2/Orchestrator.js</t>
        </is>
      </c>
      <c r="C63" s="5" t="inlineStr">
        <is>
          <t>SUB-02</t>
        </is>
      </c>
      <c r="D63" s="5" t="inlineStr">
        <is>
          <t>Engine shell</t>
        </is>
      </c>
      <c r="E63" s="5" t="inlineStr">
        <is>
          <t>Imported library (no module lifecycle)</t>
        </is>
      </c>
      <c r="F63" s="5" t="n"/>
      <c r="G63" s="5" t="inlineStr"/>
      <c r="H63" s="5" t="inlineStr"/>
      <c r="I63" s="5" t="inlineStr">
        <is>
          <t>Sacred Adventures v2 — SacredOrchestrator (Anu engine shell) Responsibilities: 1. Own the Three.js renderer, scene, camera, and clock 2. Maintain a MODULE REGISTRY — each module is a named object with { name, load(), unload(), update(delta) } 3. Benchmark FPS cost of every module in isolation 4. Drive the requestAnimationFrame loop and call active module updates 5. Render an on-screen HUD showing live FPS and active module list 6. Expose the live shell as window.anuOrchestrator (canonical). window.Orchestrator is a legacy alias for the same instance. Class SacredOrchestrator ≠ global: import t</t>
        </is>
      </c>
      <c r="J63" s="5" t="inlineStr">
        <is>
          <t>1843 lines, 77.7 KB. No update(). Writes 4 globals.</t>
        </is>
      </c>
      <c r="K63" s="5" t="inlineStr">
        <is>
          <t>MOD-060, MOD-061, MOD-086, MOD-087, MOD-090, MOD-092, MOD-093, MOD-094, MOD-096, MOD-097, MOD-100, MOD-103</t>
        </is>
      </c>
      <c r="L63" s="5" t="inlineStr"/>
      <c r="M63" s="5" t="inlineStr">
        <is>
          <t>Orchestrator; __isRenderingPip; __mobileTexCap; anuOrchestrator</t>
        </is>
      </c>
      <c r="N63" s="5" t="inlineStr">
        <is>
          <t>AnuUniverse; WorldPlayer; __sanctuaryBobberPos; __sanctuaryFishingActive; __sanctuaryFloraTimeUniform; _globalTime; addEventListener; devicePixelRatio; innerHeight; innerWidth; localStorage; removeEventListener; swayTrees</t>
        </is>
      </c>
      <c r="O63" s="5" t="inlineStr">
        <is>
          <t>MODULE_ACTIVATED; MODULE_DEACTIVATED; ORCHESTRATOR_BENCH_COMPLETE</t>
        </is>
      </c>
      <c r="P63" s="5" t="inlineStr"/>
      <c r="Q63" s="5" t="inlineStr">
        <is>
          <t>uses:PipOrthoBranchClip; uses:WorldPlayer</t>
        </is>
      </c>
      <c r="R63" s="5" t="inlineStr"/>
      <c r="S63" s="5" t="inlineStr"/>
      <c r="T63" s="5" t="inlineStr"/>
      <c r="U63" s="5" t="inlineStr">
        <is>
          <t>Yes</t>
        </is>
      </c>
      <c r="V63" s="5" t="n">
        <v>51</v>
      </c>
      <c r="W63" s="5" t="inlineStr">
        <is>
          <t>2026-10-22 perf(pip,fishing): drop limbo PIP_FRAME relay, skip dead fishing scan, no transmission pass</t>
        </is>
      </c>
      <c r="X63" s="5" t="inlineStr">
        <is>
          <t>FND-03, FND-04, FND-05, FND-06, FND-07, FND-08, FND-09, FND-11, FND-14, FND-16, FND-20, FND-21, FND-22, FND-31, FND-44</t>
        </is>
      </c>
      <c r="Y63" s="6" t="n">
        <v>1843</v>
      </c>
    </row>
    <row r="64">
      <c r="A64" s="5" t="inlineStr">
        <is>
          <t>MOD-060</t>
        </is>
      </c>
      <c r="B64" s="5" t="inlineStr">
        <is>
          <t>js/v2/OrchestratorHud.js</t>
        </is>
      </c>
      <c r="C64" s="5" t="inlineStr">
        <is>
          <t>SUB-02</t>
        </is>
      </c>
      <c r="D64" s="5" t="inlineStr">
        <is>
          <t>Engine shell</t>
        </is>
      </c>
      <c r="E64" s="5" t="inlineStr">
        <is>
          <t>Imported library (no module lifecycle)</t>
        </is>
      </c>
      <c r="F64" s="5" t="n"/>
      <c r="G64" s="5" t="inlineStr"/>
      <c r="H64" s="5" t="inlineStr"/>
      <c r="I64" s="5" t="inlineStr">
        <is>
          <t>SacredOrchestrator HUD — extracted from Orchestrator.js (Phase 9+ split). Pure rendering / DOM functions. No lifecycle state of its own; every function takes the live orchestrator (`orc`) and reads from its public surface (`renderer.info`, `_activeModules`, `_hud`, `_bench`, …). Why split: Orchestrator.js had grown to 1267 LOC and the HUD HTML + `_updateHUDValues` + `_drawFrameGraph` accounted for ~300 of those — orthogonal to the coordination role the file should have. Pulling them out drops Orchestrator.js to ~960 LOC and gives the HUD its own surface that can be reskinned without touching t</t>
        </is>
      </c>
      <c r="J64" s="5" t="inlineStr">
        <is>
          <t>972 lines, 40.6 KB. No update(). Writes 2 globals.</t>
        </is>
      </c>
      <c r="K64" s="5" t="inlineStr">
        <is>
          <t>MOD-057, MOD-061, MOD-089, MOD-092, MOD-096, MOD-103</t>
        </is>
      </c>
      <c r="L64" s="5" t="inlineStr">
        <is>
          <t>MOD-059</t>
        </is>
      </c>
      <c r="M64" s="5" t="inlineStr">
        <is>
          <t>_v2SyncVillageViewRightStack; _v4GetPipelineTrace</t>
        </is>
      </c>
      <c r="N64" s="5" t="inlineStr">
        <is>
          <t>AnuUniverse; _detectedHz; addEventListener; clearInterval; devicePixelRatio; setInterval</t>
        </is>
      </c>
      <c r="O64" s="5" t="inlineStr"/>
      <c r="P64" s="5" t="inlineStr"/>
      <c r="Q64" s="5" t="inlineStr">
        <is>
          <t>uses:WebFontsService</t>
        </is>
      </c>
      <c r="R64" s="5" t="inlineStr"/>
      <c r="S64" s="5" t="inlineStr"/>
      <c r="T64" s="5" t="inlineStr"/>
      <c r="U64" s="5" t="inlineStr">
        <is>
          <t>Yes</t>
        </is>
      </c>
      <c r="V64" s="5" t="n">
        <v>10</v>
      </c>
      <c r="W64" s="5" t="inlineStr">
        <is>
          <t>2026-06-01 feat(mobile): village build panel → neumorphic bottom sheet + de-dupe map</t>
        </is>
      </c>
      <c r="X64" s="5" t="inlineStr"/>
      <c r="Y64" s="6" t="n">
        <v>972</v>
      </c>
    </row>
    <row r="65">
      <c r="A65" s="5" t="inlineStr">
        <is>
          <t>MOD-061</t>
        </is>
      </c>
      <c r="B65" s="5" t="inlineStr">
        <is>
          <t>js/v2/RuntimeServices.js</t>
        </is>
      </c>
      <c r="C65" s="5" t="inlineStr">
        <is>
          <t>SUB-02</t>
        </is>
      </c>
      <c r="D65" s="5" t="inlineStr">
        <is>
          <t>Engine shell</t>
        </is>
      </c>
      <c r="E65" s="5" t="inlineStr">
        <is>
          <t>Imported library (no module lifecycle)</t>
        </is>
      </c>
      <c r="F65" s="5" t="n"/>
      <c r="G65" s="5" t="inlineStr"/>
      <c r="H65" s="5" t="inlineStr"/>
      <c r="I65" s="5" t="inlineStr">
        <is>
          <t>Sacred Adventures v2 — lightweight runtime service registry. Modules use this for live cross-module state instead of reaching directly for window.* globals. Legacy globals can stay as aliases while the V2 modules move toward an explicit runtime contract.</t>
        </is>
      </c>
      <c r="J65" s="5" t="inlineStr">
        <is>
          <t>175 lines, 5.8 KB. No update().</t>
        </is>
      </c>
      <c r="K65" s="5" t="inlineStr"/>
      <c r="L65" s="5" t="inlineStr">
        <is>
          <t>MOD-046, MOD-049, MOD-050, MOD-052, MOD-054, MOD-055, MOD-059, MOD-060, MOD-064, MOD-067, MOD-068, MOD-069, MOD-073, MOD-078, MOD-081, MOD-082, MOD-090, MOD-094</t>
        </is>
      </c>
      <c r="M65" s="5" t="inlineStr"/>
      <c r="N65" s="5" t="inlineStr"/>
      <c r="O65" s="5" t="inlineStr"/>
      <c r="P65" s="5" t="inlineStr"/>
      <c r="Q65" s="5" t="inlineStr"/>
      <c r="R65" s="5" t="inlineStr"/>
      <c r="S65" s="5" t="inlineStr"/>
      <c r="T65" s="5" t="inlineStr"/>
      <c r="U65" s="5" t="inlineStr">
        <is>
          <t>Yes</t>
        </is>
      </c>
      <c r="V65" s="5" t="n">
        <v>3</v>
      </c>
      <c r="W65" s="5" t="inlineStr">
        <is>
          <t>2026-05-27 refactor(fonts): centralize font loading via WebFontsService and implement advanced proximity culling for high-res PiP minimap</t>
        </is>
      </c>
      <c r="X65" s="5" t="inlineStr">
        <is>
          <t>FND-11</t>
        </is>
      </c>
      <c r="Y65" s="6" t="n">
        <v>175</v>
      </c>
    </row>
    <row r="66">
      <c r="A66" s="5" t="inlineStr">
        <is>
          <t>MOD-062</t>
        </is>
      </c>
      <c r="B66" s="5" t="inlineStr">
        <is>
          <t>js/v2/TipiCampfire.js</t>
        </is>
      </c>
      <c r="C66" s="5" t="inlineStr">
        <is>
          <t>SUB-10</t>
        </is>
      </c>
      <c r="D66" s="5" t="inlineStr">
        <is>
          <t>Structures &amp; village building</t>
        </is>
      </c>
      <c r="E66" s="5" t="inlineStr">
        <is>
          <t>Imported library (no module lifecycle)</t>
        </is>
      </c>
      <c r="F66" s="5" t="n"/>
      <c r="G66" s="5" t="inlineStr"/>
      <c r="H66" s="5" t="inlineStr"/>
      <c r="I66" s="5" t="inlineStr"/>
      <c r="J66" s="5" t="inlineStr">
        <is>
          <t>338 lines, 12.1 KB. update() at L171 (16 lines).</t>
        </is>
      </c>
      <c r="K66" s="5" t="inlineStr">
        <is>
          <t>MOD-098, MOD-103</t>
        </is>
      </c>
      <c r="L66" s="5" t="inlineStr">
        <is>
          <t>MOD-082</t>
        </is>
      </c>
      <c r="M66" s="5" t="inlineStr"/>
      <c r="N66" s="5" t="inlineStr"/>
      <c r="O66" s="5" t="inlineStr"/>
      <c r="P66" s="5" t="inlineStr"/>
      <c r="Q66" s="5" t="inlineStr"/>
      <c r="R66" s="5" t="inlineStr"/>
      <c r="S66" s="5" t="inlineStr"/>
      <c r="T66" s="5" t="inlineStr"/>
      <c r="U66" s="5" t="inlineStr">
        <is>
          <t>Yes</t>
        </is>
      </c>
      <c r="V66" s="5" t="n">
        <v>4</v>
      </c>
      <c r="W66" s="5" t="inlineStr">
        <is>
          <t>2026-05-19 feat(full-session): fishing overhaul, FPS fix, dock elevation, clean world, sanctuary v2</t>
        </is>
      </c>
      <c r="X66" s="5" t="inlineStr"/>
      <c r="Y66" s="6" t="n">
        <v>338</v>
      </c>
    </row>
    <row r="67">
      <c r="A67" s="5" t="inlineStr">
        <is>
          <t>MOD-063</t>
        </is>
      </c>
      <c r="B67" s="5" t="inlineStr">
        <is>
          <t>js/v2/Trees.js</t>
        </is>
      </c>
      <c r="C67" s="5" t="inlineStr">
        <is>
          <t>SUB-16</t>
        </is>
      </c>
      <c r="D67" s="5" t="inlineStr">
        <is>
          <t>Legacy / unused code</t>
        </is>
      </c>
      <c r="E67" s="5" t="inlineStr">
        <is>
          <t>Legacy v2 build only (index.v2.html)</t>
        </is>
      </c>
      <c r="F67" s="5" t="n"/>
      <c r="G67" s="5" t="inlineStr"/>
      <c r="H67" s="5" t="inlineStr"/>
      <c r="I67" s="5" t="inlineStr">
        <is>
          <t>Sacred Adventures v2 — orchestrator activates this file as **`Trees`**. Legacy EnvironmentBuilder-grade forest pipeline (multipart `tree.glb`, foliage tints, shader wind, terrain dirt discs, PiP ortho branch clip): implemented in `./Flora.js`.</t>
        </is>
      </c>
      <c r="J67" s="5" t="inlineStr">
        <is>
          <t>8 lines, 0.3 KB. No update().</t>
        </is>
      </c>
      <c r="K67" s="5" t="inlineStr">
        <is>
          <t>MOD-055</t>
        </is>
      </c>
      <c r="L67" s="5" t="inlineStr"/>
      <c r="M67" s="5" t="inlineStr"/>
      <c r="N67" s="5" t="inlineStr"/>
      <c r="O67" s="5" t="inlineStr"/>
      <c r="P67" s="5" t="inlineStr"/>
      <c r="Q67" s="5" t="inlineStr"/>
      <c r="R67" s="5" t="inlineStr"/>
      <c r="S67" s="5" t="inlineStr"/>
      <c r="T67" s="5" t="inlineStr"/>
      <c r="U67" s="5" t="inlineStr">
        <is>
          <t>Yes</t>
        </is>
      </c>
      <c r="V67" s="5" t="n">
        <v>5</v>
      </c>
      <c r="W67" s="5" t="inlineStr">
        <is>
          <t>2026-05-10 feat(v2): legacy-quality forest pipeline as Trees · 2× slots · ANU</t>
        </is>
      </c>
      <c r="X67" s="5" t="inlineStr"/>
      <c r="Y67" s="6" t="n">
        <v>8</v>
      </c>
    </row>
    <row r="68">
      <c r="A68" s="5" t="inlineStr">
        <is>
          <t>MOD-064</t>
        </is>
      </c>
      <c r="B68" s="5" t="inlineStr">
        <is>
          <t>js/v2/UIModule.js</t>
        </is>
      </c>
      <c r="C68" s="5" t="inlineStr">
        <is>
          <t>SUB-05</t>
        </is>
      </c>
      <c r="D68" s="5" t="inlineStr">
        <is>
          <t>PiP minimap &amp; compass</t>
        </is>
      </c>
      <c r="E68" s="5" t="inlineStr">
        <is>
          <t>Active</t>
        </is>
      </c>
      <c r="F68" s="5" t="n">
        <v>26</v>
      </c>
      <c r="G68" s="5" t="inlineStr">
        <is>
          <t>PanelsPIP</t>
        </is>
      </c>
      <c r="H68" s="5" t="inlineStr"/>
      <c r="I68" s="5" t="inlineStr"/>
      <c r="J68" s="5" t="inlineStr">
        <is>
          <t>307 lines, 11.2 KB. update() at L246 (28 lines, every 10f). Per-frame hazards: dom_query×1, dom_write×1.</t>
        </is>
      </c>
      <c r="K68" s="5" t="inlineStr">
        <is>
          <t>MOD-061, MOD-092, MOD-106</t>
        </is>
      </c>
      <c r="L68" s="5" t="inlineStr"/>
      <c r="M68" s="5" t="inlineStr"/>
      <c r="N68" s="5" t="inlineStr">
        <is>
          <t>WorldPlayer; postMessage</t>
        </is>
      </c>
      <c r="O68" s="5" t="inlineStr"/>
      <c r="P68" s="5" t="inlineStr"/>
      <c r="Q68" s="5" t="inlineStr">
        <is>
          <t>WebFontsService; uses:WorldPlayer</t>
        </is>
      </c>
      <c r="R68" s="5" t="inlineStr">
        <is>
          <t>TOGGLE_VIEW_MODE</t>
        </is>
      </c>
      <c r="S68" s="5" t="inlineStr"/>
      <c r="T68" s="5" t="inlineStr"/>
      <c r="U68" s="5" t="inlineStr">
        <is>
          <t>Yes</t>
        </is>
      </c>
      <c r="V68" s="5" t="n">
        <v>33</v>
      </c>
      <c r="W68" s="5" t="inlineStr">
        <is>
          <t>2026-05-31 refactor(pip): rename 'moondial' -&gt; 'pip-compass' (it is a compass, not a moondial)</t>
        </is>
      </c>
      <c r="X68" s="5" t="inlineStr">
        <is>
          <t>FND-26</t>
        </is>
      </c>
      <c r="Y68" s="6" t="n">
        <v>307</v>
      </c>
    </row>
    <row r="69">
      <c r="A69" s="5" t="inlineStr">
        <is>
          <t>MOD-065</t>
        </is>
      </c>
      <c r="B69" s="5" t="inlineStr">
        <is>
          <t>js/v2/UniverseModule.js</t>
        </is>
      </c>
      <c r="C69" s="5" t="inlineStr">
        <is>
          <t>SUB-16</t>
        </is>
      </c>
      <c r="D69" s="5" t="inlineStr">
        <is>
          <t>Legacy / unused code</t>
        </is>
      </c>
      <c r="E69" s="5" t="inlineStr">
        <is>
          <t>Unreferenced by any entry page</t>
        </is>
      </c>
      <c r="F69" s="5" t="n"/>
      <c r="G69" s="5" t="inlineStr"/>
      <c r="H69" s="5" t="inlineStr"/>
      <c r="I69" s="5" t="inlineStr">
        <is>
          <t>Legacy path — Anu (`AnuModule.js`) is the sole SacredOrchestrator coordinator. - Prefer `import { AnuModule } from "./AnuModule.js"` and `orc.register(AnuModule)`. - `UniverseModule` is an alias of `AnuModule` (registry name remains `"Anu"`). Do not register both.</t>
        </is>
      </c>
      <c r="J69" s="5" t="inlineStr">
        <is>
          <t>13 lines, 0.4 KB. No update().</t>
        </is>
      </c>
      <c r="K69" s="5" t="inlineStr">
        <is>
          <t>MOD-049</t>
        </is>
      </c>
      <c r="L69" s="5" t="inlineStr"/>
      <c r="M69" s="5" t="inlineStr"/>
      <c r="N69" s="5" t="inlineStr"/>
      <c r="O69" s="5" t="inlineStr"/>
      <c r="P69" s="5" t="inlineStr"/>
      <c r="Q69" s="5" t="inlineStr"/>
      <c r="R69" s="5" t="inlineStr"/>
      <c r="S69" s="5" t="inlineStr"/>
      <c r="T69" s="5" t="inlineStr"/>
      <c r="U69" s="5" t="inlineStr"/>
      <c r="V69" s="5" t="n">
        <v>2</v>
      </c>
      <c r="W69" s="5" t="inlineStr">
        <is>
          <t>2026-05-10 feat(v2): elevate Anu as sole coordinator; ease scene inventory cadence</t>
        </is>
      </c>
      <c r="X69" s="5" t="inlineStr"/>
      <c r="Y69" s="6" t="n">
        <v>13</v>
      </c>
    </row>
    <row r="70">
      <c r="A70" s="5" t="inlineStr">
        <is>
          <t>MOD-066</t>
        </is>
      </c>
      <c r="B70" s="5" t="inlineStr">
        <is>
          <t>js/v2/V2IconRenderer.js</t>
        </is>
      </c>
      <c r="C70" s="5" t="inlineStr">
        <is>
          <t>SUB-16</t>
        </is>
      </c>
      <c r="D70" s="5" t="inlineStr">
        <is>
          <t>Legacy / unused code</t>
        </is>
      </c>
      <c r="E70" s="5" t="inlineStr">
        <is>
          <t>Legacy v2 build only (index.v2.html)</t>
        </is>
      </c>
      <c r="F70" s="5" t="n"/>
      <c r="G70" s="5" t="inlineStr"/>
      <c r="H70" s="5" t="inlineStr"/>
      <c r="I70" s="5" t="inlineStr">
        <is>
          <t xml:space="preserve">Sacred Adventures v2 — Tier-B icon renderer. Why this file exists ──────────────────── The legacy `Component.ThreeIcons.js` ships a `ThreeIconManager` whose `initLoop()` clears a *full-viewport* WebGL canvas every animation frame and then renders each registered icon via a scissored pass. On a 1440p monitor that single overdraw pass dominated the v2 HUD frame cost, and the per-icon scissor stack added another ~5 render calls/frame stacked on top of the main scene **and** the PiP duplicate pass — three full WebGL pipelines per frame. That is why `index.v2.html` had `V2Panel` commented out with </t>
        </is>
      </c>
      <c r="J70" s="5" t="inlineStr">
        <is>
          <t>303 lines, 11.3 KB. No update().</t>
        </is>
      </c>
      <c r="K70" s="5" t="inlineStr"/>
      <c r="L70" s="5" t="inlineStr">
        <is>
          <t>MOD-067</t>
        </is>
      </c>
      <c r="M70" s="5" t="inlineStr"/>
      <c r="N70" s="5" t="inlineStr">
        <is>
          <t>ThreeIconManager; addEventListener; devicePixelRatio; innerHeight; innerWidth; removeEventListener</t>
        </is>
      </c>
      <c r="O70" s="5" t="inlineStr"/>
      <c r="P70" s="5" t="inlineStr"/>
      <c r="Q70" s="5" t="inlineStr"/>
      <c r="R70" s="5" t="inlineStr"/>
      <c r="S70" s="5" t="inlineStr"/>
      <c r="T70" s="5" t="inlineStr"/>
      <c r="U70" s="5" t="inlineStr">
        <is>
          <t>Yes</t>
        </is>
      </c>
      <c r="V70" s="5" t="n">
        <v>1</v>
      </c>
      <c r="W70" s="5" t="inlineStr">
        <is>
          <t>2026-05-19 feat(full-session): fishing overhaul, FPS fix, dock elevation, clean world, sanctuary v2</t>
        </is>
      </c>
      <c r="X70" s="5" t="inlineStr"/>
      <c r="Y70" s="6" t="n">
        <v>303</v>
      </c>
    </row>
    <row r="71">
      <c r="A71" s="5" t="inlineStr">
        <is>
          <t>MOD-067</t>
        </is>
      </c>
      <c r="B71" s="5" t="inlineStr">
        <is>
          <t>js/v2/V2Panel.js</t>
        </is>
      </c>
      <c r="C71" s="5" t="inlineStr">
        <is>
          <t>SUB-16</t>
        </is>
      </c>
      <c r="D71" s="5" t="inlineStr">
        <is>
          <t>Legacy / unused code</t>
        </is>
      </c>
      <c r="E71" s="5" t="inlineStr">
        <is>
          <t>Legacy v2 build only (index.v2.html)</t>
        </is>
      </c>
      <c r="F71" s="5" t="n"/>
      <c r="G71" s="5" t="inlineStr">
        <is>
          <t>V2Panel</t>
        </is>
      </c>
      <c r="H71" s="5" t="inlineStr"/>
      <c r="I71" s="5" t="inlineStr">
        <is>
          <t>Sacred Adventures v2 — touch/control panels (legacy 1:1 styling + Three.js guide icons). Layout/CSS ported from `SacredOnes.1/public/SacredGame.Panel.html` + `Component.Panel.Sides.html`: - Left: neumorphic movement keypad + center jump - Center-bottom: guide cards (Quest / Gather / Fish / Observe / Journal) + `Component.ThreeIcons.js` - Right: avatar + radial actions + resource ring</t>
        </is>
      </c>
      <c r="J71" s="5" t="inlineStr">
        <is>
          <t>1448 lines, 48.0 KB. update() at L681 (3 lines). Writes 3 globals.</t>
        </is>
      </c>
      <c r="K71" s="5" t="inlineStr">
        <is>
          <t>MOD-061, MOD-066, MOD-103, MOD-104</t>
        </is>
      </c>
      <c r="L71" s="5" t="inlineStr"/>
      <c r="M71" s="5" t="inlineStr">
        <is>
          <t>AXE_GLB_BASE64; THREE; icons</t>
        </is>
      </c>
      <c r="N71" s="5" t="inlineStr">
        <is>
          <t>ThreeIconManager; _v2FishingPoint; _v2ToggleJournal; addEventListener; anuOrchestrator; devicePixelRatio; dispatchEvent; getComputedStyle; removeEventListener</t>
        </is>
      </c>
      <c r="O71" s="5" t="inlineStr"/>
      <c r="P71" s="5" t="inlineStr"/>
      <c r="Q71" s="5" t="inlineStr">
        <is>
          <t>uses:WebFontsService; uses:WorldPlayer</t>
        </is>
      </c>
      <c r="R71" s="5" t="inlineStr">
        <is>
          <t>dom:v2-action; dom:v2-avatar; dom:v2-map-toggle; dom:v2-resource</t>
        </is>
      </c>
      <c r="S71" s="5" t="inlineStr"/>
      <c r="T71" s="5" t="inlineStr"/>
      <c r="U71" s="5" t="inlineStr">
        <is>
          <t>Yes</t>
        </is>
      </c>
      <c r="V71" s="5" t="n">
        <v>6</v>
      </c>
      <c r="W71" s="5" t="inlineStr">
        <is>
          <t>2026-06-01 fix(mobile): stop iOS OOM crash ("Can't open this page") — cap texture memory</t>
        </is>
      </c>
      <c r="X71" s="5" t="inlineStr"/>
      <c r="Y71" s="6" t="n">
        <v>1448</v>
      </c>
    </row>
    <row r="72">
      <c r="A72" s="5" t="inlineStr">
        <is>
          <t>MOD-068</t>
        </is>
      </c>
      <c r="B72" s="5" t="inlineStr">
        <is>
          <t>js/v2/VillageBuilder.js</t>
        </is>
      </c>
      <c r="C72" s="5" t="inlineStr">
        <is>
          <t>SUB-16</t>
        </is>
      </c>
      <c r="D72" s="5" t="inlineStr">
        <is>
          <t>Legacy / unused code</t>
        </is>
      </c>
      <c r="E72" s="5" t="inlineStr">
        <is>
          <t>Legacy v2 build only (index.v2.html)</t>
        </is>
      </c>
      <c r="F72" s="5" t="n"/>
      <c r="G72" s="5" t="inlineStr">
        <is>
          <t>VillageBuilder</t>
        </is>
      </c>
      <c r="H72" s="5" t="inlineStr"/>
      <c r="I72" s="5" t="inlineStr">
        <is>
          <t>Sacred Adventures v2 — Top-down Village Builder UI. Activates when the player toggles into top-down map view (`WorldPlayer.toggleMainCanvasMapView` / `TOGGLE_VIEW_MODE` postMessage). A merged panel + map-gen strip appear; in forward view these are hidden. • **Village map view (`body.v2-village-view`):** pinned to the same **top-right rail** as the FPS HUD (#v2-orchestrator-hud). PiP / moondial stay **top-left** (same as forward view); vertical stacking uses measured `:root` CSS vars updated by `OrchestratorHud.syncVillageViewRightStackCssVars()`. • **BUILDINGS** mode lists tipis in play and ex</t>
        </is>
      </c>
      <c r="J72" s="5" t="inlineStr">
        <is>
          <t>973 lines, 34.2 KB. No update().</t>
        </is>
      </c>
      <c r="K72" s="5" t="inlineStr">
        <is>
          <t>MOD-061, MOD-083, MOD-098, MOD-103, MOD-104</t>
        </is>
      </c>
      <c r="L72" s="5" t="inlineStr"/>
      <c r="M72" s="5" t="inlineStr"/>
      <c r="N72" s="5" t="inlineStr">
        <is>
          <t>clearInterval; dispatchEvent; setInterval</t>
        </is>
      </c>
      <c r="O72" s="5" t="inlineStr"/>
      <c r="P72" s="5" t="inlineStr"/>
      <c r="Q72" s="5" t="inlineStr">
        <is>
          <t>uses:WorldPlayer</t>
        </is>
      </c>
      <c r="R72" s="5" t="inlineStr">
        <is>
          <t>dom:v2-village-apply; dom:v2-village-focus-building; dom:v2-village-mapgen-size</t>
        </is>
      </c>
      <c r="S72" s="5" t="inlineStr">
        <is>
          <t>Assets/Tipi.yellowbutterfly/tipi.yellowbutterfly.glb</t>
        </is>
      </c>
      <c r="T72" s="5" t="inlineStr"/>
      <c r="U72" s="5" t="inlineStr">
        <is>
          <t>Yes</t>
        </is>
      </c>
      <c r="V72" s="5" t="n">
        <v>4</v>
      </c>
      <c r="W72" s="5" t="inlineStr">
        <is>
          <t>2026-05-24 refactor(paths): migrate remaining WORDPRESS/ asset paths to canonical root Assets/ folder</t>
        </is>
      </c>
      <c r="X72" s="5" t="inlineStr"/>
      <c r="Y72" s="6" t="n">
        <v>973</v>
      </c>
    </row>
    <row r="73">
      <c r="A73" s="5" t="inlineStr">
        <is>
          <t>MOD-069</t>
        </is>
      </c>
      <c r="B73" s="5" t="inlineStr">
        <is>
          <t>js/v2/World.js</t>
        </is>
      </c>
      <c r="C73" s="5" t="inlineStr">
        <is>
          <t>SUB-16</t>
        </is>
      </c>
      <c r="D73" s="5" t="inlineStr">
        <is>
          <t>Legacy / unused code</t>
        </is>
      </c>
      <c r="E73" s="5" t="inlineStr">
        <is>
          <t>Legacy v2 build only (index.v2.html)</t>
        </is>
      </c>
      <c r="F73" s="5" t="n"/>
      <c r="G73" s="5" t="inlineStr">
        <is>
          <t>World</t>
        </is>
      </c>
      <c r="H73" s="5" t="inlineStr"/>
      <c r="I73" s="5" t="inlineStr">
        <is>
          <t>Sacred Adventures v2 — World Module (Phase 1) Matches the exact AssetFactory terrain formula + neumorphic hex GLSL shader. Target: SOLID 60 FPS baseline. FPS fixes vs original World.js: - NO per-frame object allocation (no new THREE.Euler / new THREE.Vector3 in update) - computeVertexNormals() called ONCE at build time, never again - Movement uses pre-allocated _moveDir vector, mutated in place - camera.rotation.order set once in load(), not every frame</t>
        </is>
      </c>
      <c r="J73" s="5" t="inlineStr">
        <is>
          <t>2237 lines, 87.0 KB. update() at L831 (809 lines, every 24f). Writes 4 globals.</t>
        </is>
      </c>
      <c r="K73" s="5" t="inlineStr">
        <is>
          <t>MOD-052, MOD-057, MOD-061, MOD-070, MOD-071, MOD-075, MOD-076, MOD-077, MOD-082, MOD-083, MOD-093, MOD-098, MOD-100, MOD-103</t>
        </is>
      </c>
      <c r="L73" s="5" t="inlineStr"/>
      <c r="M73" s="5" t="inlineStr">
        <is>
          <t>WorldPhysics; WorldPlayer; _terrainHeightCache; _v2StoneAxeInInventory</t>
        </is>
      </c>
      <c r="N73" s="5" t="inlineStr">
        <is>
          <t>_v2FishingActive; _v2FishingCameraOverride; _v2FishingEngaged; _v2InputSuppressed; _v2JournalInsertLogPageAfterTitle; _v2JournalOpen; _v2OpenJournalFromProximity; _v2SetCinematicUiHidden; _v2SyncVillageViewRightStack; _v2ToggleJournal; _v3DisableNatureSpirit; anuOrchestrator; localStorage</t>
        </is>
      </c>
      <c r="O73" s="5" t="inlineStr">
        <is>
          <t>PLAYER_JUMP; PLAYER_STATE_SAMPLE</t>
        </is>
      </c>
      <c r="P73" s="5" t="inlineStr"/>
      <c r="Q73" s="5" t="inlineStr">
        <is>
          <t>WorldPhysics; WorldPlayer</t>
        </is>
      </c>
      <c r="R73" s="5" t="inlineStr"/>
      <c r="S73" s="5" t="inlineStr">
        <is>
          <t>Assets/landscape-scenes/terrain/grass-seamless.png</t>
        </is>
      </c>
      <c r="T73" s="5" t="inlineStr"/>
      <c r="U73" s="5" t="inlineStr">
        <is>
          <t>Yes</t>
        </is>
      </c>
      <c r="V73" s="5" t="n">
        <v>23</v>
      </c>
      <c r="W73" s="5" t="inlineStr">
        <is>
          <t>2026-05-29 feat(sanctuary): permanent start pos, baby blue fishing circle, and photorealistic wide dark wood dock</t>
        </is>
      </c>
      <c r="X73" s="5" t="inlineStr">
        <is>
          <t>FND-27</t>
        </is>
      </c>
      <c r="Y73" s="6" t="n">
        <v>2237</v>
      </c>
    </row>
    <row r="74">
      <c r="A74" s="5" t="inlineStr">
        <is>
          <t>MOD-070</t>
        </is>
      </c>
      <c r="B74" s="5" t="inlineStr">
        <is>
          <t>js/v2/WorldAvatar.js</t>
        </is>
      </c>
      <c r="C74" s="5" t="inlineStr">
        <is>
          <t>SUB-16</t>
        </is>
      </c>
      <c r="D74" s="5" t="inlineStr">
        <is>
          <t>Legacy / unused code</t>
        </is>
      </c>
      <c r="E74" s="5" t="inlineStr">
        <is>
          <t>Legacy v2 build only (index.v2.html)</t>
        </is>
      </c>
      <c r="F74" s="5" t="n"/>
      <c r="G74" s="5" t="inlineStr"/>
      <c r="H74" s="5" t="inlineStr"/>
      <c r="I74" s="5" t="inlineStr"/>
      <c r="J74" s="5" t="inlineStr">
        <is>
          <t>749 lines, 32.5 KB. update() at L717 (6 lines).</t>
        </is>
      </c>
      <c r="K74" s="5" t="inlineStr">
        <is>
          <t>MOD-093, MOD-098, MOD-099, MOD-100, MOD-103, MOD-104</t>
        </is>
      </c>
      <c r="L74" s="5" t="inlineStr">
        <is>
          <t>MOD-069</t>
        </is>
      </c>
      <c r="M74" s="5" t="inlineStr"/>
      <c r="N74" s="5" t="inlineStr">
        <is>
          <t>location</t>
        </is>
      </c>
      <c r="O74" s="5" t="inlineStr">
        <is>
          <t>PLAYER_AVATAR_ANIMATION</t>
        </is>
      </c>
      <c r="P74" s="5" t="inlineStr"/>
      <c r="Q74" s="5" t="inlineStr"/>
      <c r="R74" s="5" t="inlineStr"/>
      <c r="S74" s="5" t="inlineStr">
        <is>
          <t>Assets/Avatar3.glb; Assets/npc/Avatar-New.glb</t>
        </is>
      </c>
      <c r="T74" s="5" t="inlineStr"/>
      <c r="U74" s="5" t="inlineStr">
        <is>
          <t>Yes</t>
        </is>
      </c>
      <c r="V74" s="5" t="n">
        <v>11</v>
      </c>
      <c r="W74" s="5" t="inlineStr">
        <is>
          <t>2026-05-28 fix(avatar,decals): player disc body renderOrder 8 -&gt; 18 + depthTest:false so it paints over dock</t>
        </is>
      </c>
      <c r="X74" s="5" t="inlineStr"/>
      <c r="Y74" s="6" t="n">
        <v>749</v>
      </c>
    </row>
    <row r="75">
      <c r="A75" s="5" t="inlineStr">
        <is>
          <t>MOD-071</t>
        </is>
      </c>
      <c r="B75" s="5" t="inlineStr">
        <is>
          <t>js/v2/WorldCelestial.js</t>
        </is>
      </c>
      <c r="C75" s="5" t="inlineStr">
        <is>
          <t>SUB-16</t>
        </is>
      </c>
      <c r="D75" s="5" t="inlineStr">
        <is>
          <t>Legacy / unused code</t>
        </is>
      </c>
      <c r="E75" s="5" t="inlineStr">
        <is>
          <t>Legacy v2 build only (index.v2.html)</t>
        </is>
      </c>
      <c r="F75" s="5" t="n"/>
      <c r="G75" s="5" t="inlineStr"/>
      <c r="H75" s="5" t="inlineStr"/>
      <c r="I75" s="5" t="inlineStr">
        <is>
          <t>Main-view celestial: procedural sky shader that paints one of **five seasons** (`night | dawn | day | dusk | gray`) via `uZenithColor`, `uHorizonColor`, `uCloudColor`, `uCloudShadow`, and `uCloudIntensity` uniforms — same fbm cloud field everywhere, just re-coloured. The night season swaps in an additive starfield, a synodic moon disc (phase angle matches the PiP dial), and a moonbeam group that glows around the disc and gently rotates. Root follows camera, materials fog:false so world fog stays on terrain only. May-12 2026: wired to `ANU_EVENTS.SEASON_CHANGE` (UIModule's 5 `data-season` PiP b</t>
        </is>
      </c>
      <c r="J75" s="5" t="inlineStr">
        <is>
          <t>501 lines, 15.7 KB. update() at L454 (15 lines).</t>
        </is>
      </c>
      <c r="K75" s="5" t="inlineStr">
        <is>
          <t>MOD-093, MOD-100, MOD-105</t>
        </is>
      </c>
      <c r="L75" s="5" t="inlineStr">
        <is>
          <t>MOD-069</t>
        </is>
      </c>
      <c r="M75" s="5" t="inlineStr"/>
      <c r="N75" s="5" t="inlineStr"/>
      <c r="O75" s="5" t="inlineStr"/>
      <c r="P75" s="5" t="inlineStr">
        <is>
          <t>LUNAR_PHASE; SEASON_CHANGE</t>
        </is>
      </c>
      <c r="Q75" s="5" t="inlineStr"/>
      <c r="R75" s="5" t="inlineStr"/>
      <c r="S75" s="5" t="inlineStr"/>
      <c r="T75" s="5" t="inlineStr"/>
      <c r="U75" s="5" t="inlineStr">
        <is>
          <t>Yes</t>
        </is>
      </c>
      <c r="V75" s="5" t="n">
        <v>3</v>
      </c>
      <c r="W75" s="5" t="inlineStr">
        <is>
          <t>2026-05-19 feat(full-session): fishing overhaul, FPS fix, dock elevation, clean world, sanctuary v2</t>
        </is>
      </c>
      <c r="X75" s="5" t="inlineStr"/>
      <c r="Y75" s="6" t="n">
        <v>501</v>
      </c>
    </row>
    <row r="76">
      <c r="A76" s="5" t="inlineStr">
        <is>
          <t>MOD-072</t>
        </is>
      </c>
      <c r="B76" s="5" t="inlineStr">
        <is>
          <t>js/v2/WorldDistantPeaks.js</t>
        </is>
      </c>
      <c r="C76" s="5" t="inlineStr">
        <is>
          <t>SUB-16</t>
        </is>
      </c>
      <c r="D76" s="5" t="inlineStr">
        <is>
          <t>Legacy / unused code</t>
        </is>
      </c>
      <c r="E76" s="5" t="inlineStr">
        <is>
          <t>Legacy v2 build only (index.v2.html)</t>
        </is>
      </c>
      <c r="F76" s="5" t="n"/>
      <c r="G76" s="5" t="inlineStr">
        <is>
          <t>DistantPeaks</t>
        </is>
      </c>
      <c r="H76" s="5" t="inlineStr"/>
      <c r="I76" s="5" t="inlineStr">
        <is>
          <t>Sacred Adventures v2 — Distant snowcapped peaks backdrop. Procedural low-poly mountain ridge planted far to the NORTH of the playable world (z ≈ +220..+360 m, well beyond `MOUNTAIN_OUTER` at 118 m and the `WORLD_EDGE` cliff drop at the same radius). Reads as "snowy peaks on the horizon past the unclimbable hills" without adding any GLB fetches, textures, or skybox layers. Build approach: • Two parallel ridges (near + far) of ~14 cone-shaped peaks each, spread across a 600-m east-west arc north of the village. Two layers give parallax separation when the player looks around. • Each peak is a si</t>
        </is>
      </c>
      <c r="J76" s="5" t="inlineStr">
        <is>
          <t>224 lines, 6.9 KB. update() at L204 (2 lines).</t>
        </is>
      </c>
      <c r="K76" s="5" t="inlineStr">
        <is>
          <t>MOD-098</t>
        </is>
      </c>
      <c r="L76" s="5" t="inlineStr"/>
      <c r="M76" s="5" t="inlineStr"/>
      <c r="N76" s="5" t="inlineStr"/>
      <c r="O76" s="5" t="inlineStr"/>
      <c r="P76" s="5" t="inlineStr"/>
      <c r="Q76" s="5" t="inlineStr"/>
      <c r="R76" s="5" t="inlineStr"/>
      <c r="S76" s="5" t="inlineStr"/>
      <c r="T76" s="5" t="inlineStr"/>
      <c r="U76" s="5" t="inlineStr">
        <is>
          <t>Yes</t>
        </is>
      </c>
      <c r="V76" s="5" t="n">
        <v>1</v>
      </c>
      <c r="W76" s="5" t="inlineStr">
        <is>
          <t>2026-05-19 feat(full-session): fishing overhaul, FPS fix, dock elevation, clean world, sanctuary v2</t>
        </is>
      </c>
      <c r="X76" s="5" t="inlineStr"/>
      <c r="Y76" s="6" t="n">
        <v>224</v>
      </c>
    </row>
    <row r="77">
      <c r="A77" s="5" t="inlineStr">
        <is>
          <t>MOD-073</t>
        </is>
      </c>
      <c r="B77" s="5" t="inlineStr">
        <is>
          <t>js/v2/WorldFishing.js</t>
        </is>
      </c>
      <c r="C77" s="5" t="inlineStr">
        <is>
          <t>SUB-16</t>
        </is>
      </c>
      <c r="D77" s="5" t="inlineStr">
        <is>
          <t>Legacy / unused code</t>
        </is>
      </c>
      <c r="E77" s="5" t="inlineStr">
        <is>
          <t>Legacy v2 build only (index.v2.html)</t>
        </is>
      </c>
      <c r="F77" s="5" t="n"/>
      <c r="G77" s="5" t="inlineStr">
        <is>
          <t>Nightcrawler</t>
        </is>
      </c>
      <c r="H77" s="5" t="inlineStr"/>
      <c r="I77" s="5" t="inlineStr">
        <is>
          <t xml:space="preserve">Sacred Adventures v2 — fishing module (the first "fun spot"). Player spec May-16 2026: "create our first fun spot — the fishing dock circle, when player gets there, put a simple fishing pool — wood pole with a simple line and a walnut bob and a rock for a sinker and a metal hook, the fish in the pond will come to investigate. 50 % chance per 10 seconds it will bite the hook and player now will have a tension meter graph show up in a semi radial, with red at the very right if the fish model is pulling too far, the fish always pull towards the tipi 1 side, so players can see the fish wriggling. </t>
        </is>
      </c>
      <c r="J77" s="5" t="inlineStr">
        <is>
          <t>2103 lines, 87.4 KB. update() at L1017 (155 lines). Writes 6 globals.</t>
        </is>
      </c>
      <c r="K77" s="5" t="inlineStr">
        <is>
          <t>MOD-061, MOD-083, MOD-098, MOD-103</t>
        </is>
      </c>
      <c r="L77" s="5" t="inlineStr"/>
      <c r="M77" s="5" t="inlineStr">
        <is>
          <t>_v2FishingActive; _v2FishingCameraOverride; _v2FishingCameraReleased; _v2FishingEngaged; _v2FishingPoint; _v2PoolFishTemplate</t>
        </is>
      </c>
      <c r="N77" s="5" t="inlineStr">
        <is>
          <t>_v2PoolFish; anuOrchestrator; localStorage</t>
        </is>
      </c>
      <c r="O77" s="5" t="inlineStr"/>
      <c r="P77" s="5" t="inlineStr"/>
      <c r="Q77" s="5" t="inlineStr">
        <is>
          <t>uses:WorldPlayer</t>
        </is>
      </c>
      <c r="R77" s="5" t="inlineStr"/>
      <c r="S77" s="5" t="inlineStr"/>
      <c r="T77" s="5" t="inlineStr"/>
      <c r="U77" s="5" t="inlineStr">
        <is>
          <t>Yes</t>
        </is>
      </c>
      <c r="V77" s="5" t="n">
        <v>1</v>
      </c>
      <c r="W77" s="5" t="inlineStr">
        <is>
          <t>2026-05-19 feat(full-session): fishing overhaul, FPS fix, dock elevation, clean world, sanctuary v2</t>
        </is>
      </c>
      <c r="X77" s="5" t="inlineStr"/>
      <c r="Y77" s="6" t="n">
        <v>2103</v>
      </c>
    </row>
    <row r="78">
      <c r="A78" s="5" t="inlineStr">
        <is>
          <t>MOD-074</t>
        </is>
      </c>
      <c r="B78" s="5" t="inlineStr">
        <is>
          <t>js/v2/WorldMossyRock.js</t>
        </is>
      </c>
      <c r="C78" s="5" t="inlineStr">
        <is>
          <t>SUB-15</t>
        </is>
      </c>
      <c r="D78" s="5" t="inlineStr">
        <is>
          <t>Shared config &amp; helpers</t>
        </is>
      </c>
      <c r="E78" s="5" t="inlineStr">
        <is>
          <t>Imported library (no module lifecycle)</t>
        </is>
      </c>
      <c r="F78" s="5" t="n"/>
      <c r="G78" s="5" t="inlineStr"/>
      <c r="H78" s="5" t="inlineStr"/>
      <c r="I78" s="5" t="inlineStr">
        <is>
          <t>Shared mossy landscape rock — `rock.mossy.glb` cloned to multiple sites. One cached `loadAsync` promise so Pool2 + tipi boots do not double-fetch.</t>
        </is>
      </c>
      <c r="J78" s="5" t="inlineStr">
        <is>
          <t>82 lines, 2.7 KB. No update().</t>
        </is>
      </c>
      <c r="K78" s="5" t="inlineStr">
        <is>
          <t>MOD-083, MOD-098, MOD-104</t>
        </is>
      </c>
      <c r="L78" s="5" t="inlineStr">
        <is>
          <t>MOD-050, MOD-078, MOD-082</t>
        </is>
      </c>
      <c r="M78" s="5" t="inlineStr"/>
      <c r="N78" s="5" t="inlineStr"/>
      <c r="O78" s="5" t="inlineStr"/>
      <c r="P78" s="5" t="inlineStr"/>
      <c r="Q78" s="5" t="inlineStr"/>
      <c r="R78" s="5" t="inlineStr"/>
      <c r="S78" s="5" t="inlineStr">
        <is>
          <t>Assets/landscape-scenes/terrain/rock.mossy.glb</t>
        </is>
      </c>
      <c r="T78" s="5" t="inlineStr"/>
      <c r="U78" s="5" t="inlineStr">
        <is>
          <t>Yes</t>
        </is>
      </c>
      <c r="V78" s="5" t="n">
        <v>1</v>
      </c>
      <c r="W78" s="5" t="inlineStr">
        <is>
          <t>2026-05-19 feat(full-session): fishing overhaul, FPS fix, dock elevation, clean world, sanctuary v2</t>
        </is>
      </c>
      <c r="X78" s="5" t="inlineStr"/>
      <c r="Y78" s="6" t="n">
        <v>82</v>
      </c>
    </row>
    <row r="79">
      <c r="A79" s="5" t="inlineStr">
        <is>
          <t>MOD-075</t>
        </is>
      </c>
      <c r="B79" s="5" t="inlineStr">
        <is>
          <t>js/v2/WorldNatureSpirit.js</t>
        </is>
      </c>
      <c r="C79" s="5" t="inlineStr">
        <is>
          <t>SUB-16</t>
        </is>
      </c>
      <c r="D79" s="5" t="inlineStr">
        <is>
          <t>Legacy / unused code</t>
        </is>
      </c>
      <c r="E79" s="5" t="inlineStr">
        <is>
          <t>Legacy v2 build only (index.v2.html)</t>
        </is>
      </c>
      <c r="F79" s="5" t="n"/>
      <c r="G79" s="5" t="inlineStr"/>
      <c r="H79" s="5" t="inlineStr"/>
      <c r="I79" s="5" t="inlineStr">
        <is>
          <t>Sacred Adventures v2 — Nature-Spirit Stag controller. `Assets/animated.stag.glb` rendered as a 10-foot-tall ethereal hologram (cyan-mint emissive glow, layered additive bloom pulse + **3D burst column**, foot hologram circle) that visits NPC YB on a 5-minute cycle without entering tipi 1. Visit pattern (May-11 2026 late correction): WAIT_TO_APPEAR │ 30 s after boot ▼ WALK_TO_STANDOFF (spawn at forest NW → stop 0.5 tile south of YB, │ outside the tipi platform) │ arrive (&lt;= ARRIVE_EPS_M) ▼ FACE_YB (stand still; whole body slowly turns to face YB — │ no head-bone mutation; **idle clip paused** a</t>
        </is>
      </c>
      <c r="J79" s="5" t="inlineStr">
        <is>
          <t>866 lines, 33.4 KB. update() at L658 (129 lines). Writes 1 globals.</t>
        </is>
      </c>
      <c r="K79" s="5" t="inlineStr">
        <is>
          <t>MOD-093, MOD-098, MOD-100, MOD-103, MOD-104</t>
        </is>
      </c>
      <c r="L79" s="5" t="inlineStr">
        <is>
          <t>MOD-069</t>
        </is>
      </c>
      <c r="M79" s="5" t="inlineStr">
        <is>
          <t>natureSpiritSystem</t>
        </is>
      </c>
      <c r="N79" s="5" t="inlineStr"/>
      <c r="O79" s="5" t="inlineStr">
        <is>
          <t>NPC_ENTITY</t>
        </is>
      </c>
      <c r="P79" s="5" t="inlineStr"/>
      <c r="Q79" s="5" t="inlineStr"/>
      <c r="R79" s="5" t="inlineStr"/>
      <c r="S79" s="5" t="inlineStr">
        <is>
          <t>Assets/animated.stag.glb</t>
        </is>
      </c>
      <c r="T79" s="5" t="inlineStr"/>
      <c r="U79" s="5" t="inlineStr">
        <is>
          <t>Yes</t>
        </is>
      </c>
      <c r="V79" s="5" t="n">
        <v>2</v>
      </c>
      <c r="W79" s="5" t="inlineStr">
        <is>
          <t>2026-05-19 feat(full-session): fishing overhaul, FPS fix, dock elevation, clean world, sanctuary v2</t>
        </is>
      </c>
      <c r="X79" s="5" t="inlineStr"/>
      <c r="Y79" s="6" t="n">
        <v>866</v>
      </c>
    </row>
    <row r="80">
      <c r="A80" s="5" t="inlineStr">
        <is>
          <t>MOD-076</t>
        </is>
      </c>
      <c r="B80" s="5" t="inlineStr">
        <is>
          <t>js/v2/WorldPhysics.js</t>
        </is>
      </c>
      <c r="C80" s="5" t="inlineStr">
        <is>
          <t>SUB-16</t>
        </is>
      </c>
      <c r="D80" s="5" t="inlineStr">
        <is>
          <t>Legacy / unused code</t>
        </is>
      </c>
      <c r="E80" s="5" t="inlineStr">
        <is>
          <t>Legacy v2 build only (index.v2.html)</t>
        </is>
      </c>
      <c r="F80" s="5" t="n"/>
      <c r="G80" s="5" t="inlineStr"/>
      <c r="H80" s="5" t="inlineStr"/>
      <c r="I80" s="5" t="inlineStr"/>
      <c r="J80" s="5" t="inlineStr">
        <is>
          <t>260 lines, 7.9 KB. No update().</t>
        </is>
      </c>
      <c r="K80" s="5" t="inlineStr">
        <is>
          <t>MOD-103</t>
        </is>
      </c>
      <c r="L80" s="5" t="inlineStr">
        <is>
          <t>MOD-069, MOD-078</t>
        </is>
      </c>
      <c r="M80" s="5" t="inlineStr"/>
      <c r="N80" s="5" t="inlineStr"/>
      <c r="O80" s="5" t="inlineStr"/>
      <c r="P80" s="5" t="inlineStr"/>
      <c r="Q80" s="5" t="inlineStr"/>
      <c r="R80" s="5" t="inlineStr"/>
      <c r="S80" s="5" t="inlineStr"/>
      <c r="T80" s="5" t="inlineStr"/>
      <c r="U80" s="5" t="inlineStr">
        <is>
          <t>Yes</t>
        </is>
      </c>
      <c r="V80" s="5" t="n">
        <v>2</v>
      </c>
      <c r="W80" s="5" t="inlineStr">
        <is>
          <t>2026-05-19 feat(full-session): fishing overhaul, FPS fix, dock elevation, clean world, sanctuary v2</t>
        </is>
      </c>
      <c r="X80" s="5" t="inlineStr"/>
      <c r="Y80" s="6" t="n">
        <v>260</v>
      </c>
    </row>
    <row r="81">
      <c r="A81" s="5" t="inlineStr">
        <is>
          <t>MOD-077</t>
        </is>
      </c>
      <c r="B81" s="5" t="inlineStr">
        <is>
          <t>js/v2/WorldPlayerController.js</t>
        </is>
      </c>
      <c r="C81" s="5" t="inlineStr">
        <is>
          <t>SUB-16</t>
        </is>
      </c>
      <c r="D81" s="5" t="inlineStr">
        <is>
          <t>Legacy / unused code</t>
        </is>
      </c>
      <c r="E81" s="5" t="inlineStr">
        <is>
          <t>Legacy v2 build only (index.v2.html)</t>
        </is>
      </c>
      <c r="F81" s="5" t="n"/>
      <c r="G81" s="5" t="inlineStr"/>
      <c r="H81" s="5" t="inlineStr"/>
      <c r="I81" s="5" t="inlineStr"/>
      <c r="J81" s="5" t="inlineStr">
        <is>
          <t>122 lines, 4.2 KB. No update(). Writes 1 globals.</t>
        </is>
      </c>
      <c r="K81" s="5" t="inlineStr"/>
      <c r="L81" s="5" t="inlineStr">
        <is>
          <t>MOD-069</t>
        </is>
      </c>
      <c r="M81" s="5" t="inlineStr">
        <is>
          <t>_v2InputSuppressed</t>
        </is>
      </c>
      <c r="N81" s="5" t="inlineStr">
        <is>
          <t>addEventListener; removeEventListener</t>
        </is>
      </c>
      <c r="O81" s="5" t="inlineStr">
        <is>
          <t>PLAYER_KEY_EDGE</t>
        </is>
      </c>
      <c r="P81" s="5" t="inlineStr"/>
      <c r="Q81" s="5" t="inlineStr"/>
      <c r="R81" s="5" t="inlineStr"/>
      <c r="S81" s="5" t="inlineStr"/>
      <c r="T81" s="5" t="inlineStr"/>
      <c r="U81" s="5" t="inlineStr">
        <is>
          <t>Yes</t>
        </is>
      </c>
      <c r="V81" s="5" t="n">
        <v>2</v>
      </c>
      <c r="W81" s="5" t="inlineStr">
        <is>
          <t>2026-05-19 feat(full-session): fishing overhaul, FPS fix, dock elevation, clean world, sanctuary v2</t>
        </is>
      </c>
      <c r="X81" s="5" t="inlineStr"/>
      <c r="Y81" s="6" t="n">
        <v>122</v>
      </c>
    </row>
    <row r="82">
      <c r="A82" s="5" t="inlineStr">
        <is>
          <t>MOD-078</t>
        </is>
      </c>
      <c r="B82" s="5" t="inlineStr">
        <is>
          <t>js/v2/WorldPool2.js</t>
        </is>
      </c>
      <c r="C82" s="5" t="inlineStr">
        <is>
          <t>SUB-16</t>
        </is>
      </c>
      <c r="D82" s="5" t="inlineStr">
        <is>
          <t>Legacy / unused code</t>
        </is>
      </c>
      <c r="E82" s="5" t="inlineStr">
        <is>
          <t>Legacy v2 build only (index.v2.html)</t>
        </is>
      </c>
      <c r="F82" s="5" t="n"/>
      <c r="G82" s="5" t="inlineStr">
        <is>
          <t>Pool2</t>
        </is>
      </c>
      <c r="H82" s="5" t="inlineStr"/>
      <c r="I82" s="5" t="inlineStr">
        <is>
          <t>Sacred Adventures v2 — Northern Forest Deep Pool ("POOL2"). May-14 2026 rebuild. The user removed the original `pond1.glb` PondEnclave ("its ugly") and asked for a real 3D pool at the same anchor, ported from their "Forest Deep Pool" Three.js reference: • Organic-edged stone basin with tiered shelves (~5 m deep). • Deep forest-green water surface with a shader-animated ripple pass (reused from the prior `createAnimatedWaterMaterial` shape, re-tuned to forest greens). • South-shore fishing pier with **terrain-height deck patch** so the avatar walks at deck level (WorldPhysics.registerDeckSurfac</t>
        </is>
      </c>
      <c r="J82" s="5" t="inlineStr">
        <is>
          <t>2769 lines, 108.0 KB. update() at L2004 (626 lines). Writes 3 globals.</t>
        </is>
      </c>
      <c r="K82" s="5" t="inlineStr">
        <is>
          <t>MOD-061, MOD-074, MOD-076, MOD-082, MOD-083, MOD-098, MOD-103, MOD-104</t>
        </is>
      </c>
      <c r="L82" s="5" t="inlineStr"/>
      <c r="M82" s="5" t="inlineStr">
        <is>
          <t>_v2FishingPoint; _v2PoolFish; _v2PoolFishTemplate</t>
        </is>
      </c>
      <c r="N82" s="5" t="inlineStr">
        <is>
          <t>WorldPhysics</t>
        </is>
      </c>
      <c r="O82" s="5" t="inlineStr"/>
      <c r="P82" s="5" t="inlineStr"/>
      <c r="Q82" s="5" t="inlineStr">
        <is>
          <t>uses:AnuNatureAwareness; uses:WorldPhysics</t>
        </is>
      </c>
      <c r="R82" s="5" t="inlineStr"/>
      <c r="S82" s="5" t="inlineStr">
        <is>
          <t>Assets/fauna/animal-pack/deer.glb</t>
        </is>
      </c>
      <c r="T82" s="5" t="inlineStr"/>
      <c r="U82" s="5" t="inlineStr">
        <is>
          <t>Yes</t>
        </is>
      </c>
      <c r="V82" s="5" t="n">
        <v>1</v>
      </c>
      <c r="W82" s="5" t="inlineStr">
        <is>
          <t>2026-05-19 feat(full-session): fishing overhaul, FPS fix, dock elevation, clean world, sanctuary v2</t>
        </is>
      </c>
      <c r="X82" s="5" t="inlineStr"/>
      <c r="Y82" s="6" t="n">
        <v>2769</v>
      </c>
    </row>
    <row r="83">
      <c r="A83" s="5" t="inlineStr">
        <is>
          <t>MOD-079</t>
        </is>
      </c>
      <c r="B83" s="5" t="inlineStr">
        <is>
          <t>js/v2/WorldQuietGlade.js</t>
        </is>
      </c>
      <c r="C83" s="5" t="inlineStr">
        <is>
          <t>SUB-16</t>
        </is>
      </c>
      <c r="D83" s="5" t="inlineStr">
        <is>
          <t>Legacy / unused code</t>
        </is>
      </c>
      <c r="E83" s="5" t="inlineStr">
        <is>
          <t>Legacy v2 build only (index.v2.html)</t>
        </is>
      </c>
      <c r="F83" s="5" t="n"/>
      <c r="G83" s="5" t="inlineStr">
        <is>
          <t>QuietGlade</t>
        </is>
      </c>
      <c r="H83" s="5" t="inlineStr"/>
      <c r="I83" s="5" t="inlineStr">
        <is>
          <t>Sacred Adventures v2 — Quiet Glade scene module. A small contemplative clearing southwest of the village. Built entirely from procedural primitives (no GLB fetch, no Tripo meshes) so the whole scene weighs ~3k triangles — a deliberate counterweight to the million-tri tipi GLBs that dominate the village budget. Contents: • Eight standing-stone monoliths arranged on an octagon ring, each octagonal-prism geometry (16 tris × 8 = 128 tris). • A flat moss disc deck inside the ring (32-segment cylinder ≈ 64 tris). • A central low-poly cairn — five stacked stones, each an icosahedron at detail 0 (20 t</t>
        </is>
      </c>
      <c r="J83" s="5" t="inlineStr">
        <is>
          <t>321 lines, 10.1 KB. update() at L266 (23 lines).</t>
        </is>
      </c>
      <c r="K83" s="5" t="inlineStr">
        <is>
          <t>MOD-083, MOD-098, MOD-103</t>
        </is>
      </c>
      <c r="L83" s="5" t="inlineStr"/>
      <c r="M83" s="5" t="inlineStr"/>
      <c r="N83" s="5" t="inlineStr"/>
      <c r="O83" s="5" t="inlineStr"/>
      <c r="P83" s="5" t="inlineStr"/>
      <c r="Q83" s="5" t="inlineStr"/>
      <c r="R83" s="5" t="inlineStr"/>
      <c r="S83" s="5" t="inlineStr"/>
      <c r="T83" s="5" t="inlineStr"/>
      <c r="U83" s="5" t="inlineStr">
        <is>
          <t>Yes</t>
        </is>
      </c>
      <c r="V83" s="5" t="n">
        <v>1</v>
      </c>
      <c r="W83" s="5" t="inlineStr">
        <is>
          <t>2026-05-19 feat(full-session): fishing overhaul, FPS fix, dock elevation, clean world, sanctuary v2</t>
        </is>
      </c>
      <c r="X83" s="5" t="inlineStr"/>
      <c r="Y83" s="6" t="n">
        <v>321</v>
      </c>
    </row>
    <row r="84">
      <c r="A84" s="5" t="inlineStr">
        <is>
          <t>MOD-080</t>
        </is>
      </c>
      <c r="B84" s="5" t="inlineStr">
        <is>
          <t>js/v2/WorldSacredPlatform.js</t>
        </is>
      </c>
      <c r="C84" s="5" t="inlineStr">
        <is>
          <t>SUB-15</t>
        </is>
      </c>
      <c r="D84" s="5" t="inlineStr">
        <is>
          <t>Shared config &amp; helpers</t>
        </is>
      </c>
      <c r="E84" s="5" t="inlineStr">
        <is>
          <t>Imported library (no module lifecycle)</t>
        </is>
      </c>
      <c r="F84" s="5" t="n"/>
      <c r="G84" s="5" t="inlineStr"/>
      <c r="H84" s="5" t="inlineStr"/>
      <c r="I84" s="5" t="inlineStr">
        <is>
          <t xml:space="preserve">Sacred Adventures v2 — procedural wooden platform. Single factory `createSacredCirclePlatform({...})` that builds the stylized-realism wooden circle every sacred building now sits on: • Deck (radial hand-hewn planks with grain + knots). • Vertical log posts spaced evenly around the rim. • Stacked horizontal log rails between each pair of posts (two courses high) — the "interlocked outer ring". • Rope lashings wrapping every post at each course joint. • A 2-step set of timber treads centered on `stepFacingRad` so the player approaches and steps UP onto the deck rather than clipping through the </t>
        </is>
      </c>
      <c r="J84" s="5" t="inlineStr">
        <is>
          <t>584 lines, 20.9 KB. No update().</t>
        </is>
      </c>
      <c r="K84" s="5" t="inlineStr">
        <is>
          <t>MOD-098, MOD-103</t>
        </is>
      </c>
      <c r="L84" s="5" t="inlineStr">
        <is>
          <t>MOD-039, MOD-082</t>
        </is>
      </c>
      <c r="M84" s="5" t="inlineStr"/>
      <c r="N84" s="5" t="inlineStr"/>
      <c r="O84" s="5" t="inlineStr"/>
      <c r="P84" s="5" t="inlineStr"/>
      <c r="Q84" s="5" t="inlineStr"/>
      <c r="R84" s="5" t="inlineStr"/>
      <c r="S84" s="5" t="inlineStr"/>
      <c r="T84" s="5" t="inlineStr"/>
      <c r="U84" s="5" t="inlineStr">
        <is>
          <t>Yes</t>
        </is>
      </c>
      <c r="V84" s="5" t="n">
        <v>1</v>
      </c>
      <c r="W84" s="5" t="inlineStr">
        <is>
          <t>2026-05-19 feat(full-session): fishing overhaul, FPS fix, dock elevation, clean world, sanctuary v2</t>
        </is>
      </c>
      <c r="X84" s="5" t="inlineStr"/>
      <c r="Y84" s="6" t="n">
        <v>584</v>
      </c>
    </row>
    <row r="85">
      <c r="A85" s="5" t="inlineStr">
        <is>
          <t>MOD-081</t>
        </is>
      </c>
      <c r="B85" s="5" t="inlineStr">
        <is>
          <t>js/v2/WorldSkyFlock.js</t>
        </is>
      </c>
      <c r="C85" s="5" t="inlineStr">
        <is>
          <t>SUB-16</t>
        </is>
      </c>
      <c r="D85" s="5" t="inlineStr">
        <is>
          <t>Legacy / unused code</t>
        </is>
      </c>
      <c r="E85" s="5" t="inlineStr">
        <is>
          <t>Unreferenced by any entry page</t>
        </is>
      </c>
      <c r="F85" s="5" t="n"/>
      <c r="G85" s="5" t="inlineStr">
        <is>
          <t>WorldSkyFlock</t>
        </is>
      </c>
      <c r="H85" s="5" t="inlineStr"/>
      <c r="I85" s="5" t="inlineStr">
        <is>
          <t>Sacred Adventures v2 — high-altitude sky flock (Reynolds-style boids, instanced mesh). One draw call: procedural low-poly goose silhouettes → `InstancedMesh`. Starts in a readable V-formation in front of the launch camera, then blends into separation / alignment / cohesion + soft follow of a player-tracked anchor. The aim is a beautiful “geese crossing the sky” read on game load, not strict biological simulation. Anchor + instanced mesh use `decor_sky_flock_*` kinds so they are not misread as ground-level `fauna_bird` threats (Fauna mover scan matches prefix `fauna_bird`).</t>
        </is>
      </c>
      <c r="J85" s="5" t="inlineStr">
        <is>
          <t>478 lines, 15.3 KB. update() at L265 (210 lines). Per-frame hazards: matrix_update×1.</t>
        </is>
      </c>
      <c r="K85" s="5" t="inlineStr">
        <is>
          <t>MOD-061, MOD-083, MOD-098</t>
        </is>
      </c>
      <c r="L85" s="5" t="inlineStr"/>
      <c r="M85" s="5" t="inlineStr"/>
      <c r="N85" s="5" t="inlineStr"/>
      <c r="O85" s="5" t="inlineStr"/>
      <c r="P85" s="5" t="inlineStr"/>
      <c r="Q85" s="5" t="inlineStr">
        <is>
          <t>uses:WorldPlayer</t>
        </is>
      </c>
      <c r="R85" s="5" t="inlineStr"/>
      <c r="S85" s="5" t="inlineStr"/>
      <c r="T85" s="5" t="inlineStr"/>
      <c r="U85" s="5" t="inlineStr"/>
      <c r="V85" s="5" t="n">
        <v>1</v>
      </c>
      <c r="W85" s="5" t="inlineStr">
        <is>
          <t>2026-05-19 feat(full-session): fishing overhaul, FPS fix, dock elevation, clean world, sanctuary v2</t>
        </is>
      </c>
      <c r="X85" s="5" t="inlineStr"/>
      <c r="Y85" s="6" t="n">
        <v>478</v>
      </c>
    </row>
    <row r="86">
      <c r="A86" s="5" t="inlineStr">
        <is>
          <t>MOD-082</t>
        </is>
      </c>
      <c r="B86" s="5" t="inlineStr">
        <is>
          <t>js/v2/WorldStructures.js</t>
        </is>
      </c>
      <c r="C86" s="5" t="inlineStr">
        <is>
          <t>SUB-15</t>
        </is>
      </c>
      <c r="D86" s="5" t="inlineStr">
        <is>
          <t>Shared config &amp; helpers</t>
        </is>
      </c>
      <c r="E86" s="5" t="inlineStr">
        <is>
          <t>Imported library (no module lifecycle)</t>
        </is>
      </c>
      <c r="F86" s="5" t="n"/>
      <c r="G86" s="5" t="inlineStr"/>
      <c r="H86" s="5" t="inlineStr"/>
      <c r="I86" s="5" t="inlineStr"/>
      <c r="J86" s="5" t="inlineStr">
        <is>
          <t>1744 lines, 66.8 KB. No update(). Writes 1 globals.</t>
        </is>
      </c>
      <c r="K86" s="5" t="inlineStr">
        <is>
          <t>MOD-058, MOD-061, MOD-062, MOD-074, MOD-080, MOD-083, MOD-084, MOD-094, MOD-098, MOD-099, MOD-103, MOD-104</t>
        </is>
      </c>
      <c r="L86" s="5" t="inlineStr">
        <is>
          <t>MOD-038, MOD-039, MOD-069, MOD-078</t>
        </is>
      </c>
      <c r="M86" s="5" t="inlineStr">
        <is>
          <t>_tipiPlatformY</t>
        </is>
      </c>
      <c r="N86" s="5" t="inlineStr">
        <is>
          <t>_v3DisableSeatedNpcs</t>
        </is>
      </c>
      <c r="O86" s="5" t="inlineStr"/>
      <c r="P86" s="5" t="inlineStr"/>
      <c r="Q86" s="5" t="inlineStr">
        <is>
          <t>uses:WorldPhysics</t>
        </is>
      </c>
      <c r="R86" s="5" t="inlineStr"/>
      <c r="S86" s="5" t="inlineStr">
        <is>
          <t>Assets/NPC.BHG.glb; Assets/NPC.YB.glb; Assets/Tipi.yellowbutterfly/tipi.yellowbutterfly.glb; Assets/axe.glb</t>
        </is>
      </c>
      <c r="T86" s="5" t="inlineStr"/>
      <c r="U86" s="5" t="inlineStr">
        <is>
          <t>Yes</t>
        </is>
      </c>
      <c r="V86" s="5" t="n">
        <v>15</v>
      </c>
      <c r="W86" s="5" t="inlineStr">
        <is>
          <t>2026-05-24 refactor(paths): migrate remaining WORDPRESS/ asset paths to canonical root Assets/ folder</t>
        </is>
      </c>
      <c r="X86" s="5" t="inlineStr">
        <is>
          <t>FND-27</t>
        </is>
      </c>
      <c r="Y86" s="6" t="n">
        <v>1744</v>
      </c>
    </row>
    <row r="87">
      <c r="A87" s="5" t="inlineStr">
        <is>
          <t>MOD-083</t>
        </is>
      </c>
      <c r="B87" s="5" t="inlineStr">
        <is>
          <t>js/v2/WorldTerrain.js</t>
        </is>
      </c>
      <c r="C87" s="5" t="inlineStr">
        <is>
          <t>SUB-15</t>
        </is>
      </c>
      <c r="D87" s="5" t="inlineStr">
        <is>
          <t>Shared config &amp; helpers</t>
        </is>
      </c>
      <c r="E87" s="5" t="inlineStr">
        <is>
          <t>Imported library (no module lifecycle)</t>
        </is>
      </c>
      <c r="F87" s="5" t="n"/>
      <c r="G87" s="5" t="inlineStr"/>
      <c r="H87" s="5" t="inlineStr"/>
      <c r="I87" s="5" t="inlineStr">
        <is>
          <t>Sacred Adventures v2 — terrain height and material helpers. Kept separate from WorldModule so terrain math can be reused by physics, tools, and future world chunk/LOD modules without pulling in player state.</t>
        </is>
      </c>
      <c r="J87" s="5" t="inlineStr">
        <is>
          <t>352 lines, 14.1 KB. No update().</t>
        </is>
      </c>
      <c r="K87" s="5" t="inlineStr">
        <is>
          <t>MOD-057, MOD-103</t>
        </is>
      </c>
      <c r="L87" s="5" t="inlineStr">
        <is>
          <t>MOD-054, MOD-068, MOD-069, MOD-073, MOD-074, MOD-078, MOD-079, MOD-081, MOD-082, MOD-085</t>
        </is>
      </c>
      <c r="M87" s="5" t="inlineStr"/>
      <c r="N87" s="5" t="inlineStr"/>
      <c r="O87" s="5" t="inlineStr"/>
      <c r="P87" s="5" t="inlineStr"/>
      <c r="Q87" s="5" t="inlineStr"/>
      <c r="R87" s="5" t="inlineStr"/>
      <c r="S87" s="5" t="inlineStr"/>
      <c r="T87" s="5" t="inlineStr"/>
      <c r="U87" s="5" t="inlineStr">
        <is>
          <t>Yes</t>
        </is>
      </c>
      <c r="V87" s="5" t="n">
        <v>2</v>
      </c>
      <c r="W87" s="5" t="inlineStr">
        <is>
          <t>2026-05-19 feat(full-session): fishing overhaul, FPS fix, dock elevation, clean world, sanctuary v2</t>
        </is>
      </c>
      <c r="X87" s="5" t="inlineStr"/>
      <c r="Y87" s="6" t="n">
        <v>352</v>
      </c>
    </row>
    <row r="88">
      <c r="A88" s="5" t="inlineStr">
        <is>
          <t>MOD-084</t>
        </is>
      </c>
      <c r="B88" s="5" t="inlineStr">
        <is>
          <t>js/v2/WorldTipiJournalBalloon.js</t>
        </is>
      </c>
      <c r="C88" s="5" t="inlineStr">
        <is>
          <t>SUB-10</t>
        </is>
      </c>
      <c r="D88" s="5" t="inlineStr">
        <is>
          <t>Structures &amp; village building</t>
        </is>
      </c>
      <c r="E88" s="5" t="inlineStr">
        <is>
          <t>Imported library (no module lifecycle)</t>
        </is>
      </c>
      <c r="F88" s="5" t="n"/>
      <c r="G88" s="5" t="inlineStr"/>
      <c r="H88" s="5" t="inlineStr"/>
      <c r="I88" s="5" t="inlineStr">
        <is>
          <t>Tipi 1 journal guide — 3D golden balloon matching `Component.ThreeIcons.js` `buildQuest` (lathe body + knot + “!” sprite + additive bloom + sparkles). World-scaled with a gentle wind sway for the main scene (not the HUD icon pass).</t>
        </is>
      </c>
      <c r="J88" s="5" t="inlineStr">
        <is>
          <t>297 lines, 8.7 KB. update() at L275 (19 lines).</t>
        </is>
      </c>
      <c r="K88" s="5" t="inlineStr">
        <is>
          <t>MOD-098</t>
        </is>
      </c>
      <c r="L88" s="5" t="inlineStr">
        <is>
          <t>MOD-082</t>
        </is>
      </c>
      <c r="M88" s="5" t="inlineStr"/>
      <c r="N88" s="5" t="inlineStr"/>
      <c r="O88" s="5" t="inlineStr"/>
      <c r="P88" s="5" t="inlineStr"/>
      <c r="Q88" s="5" t="inlineStr"/>
      <c r="R88" s="5" t="inlineStr"/>
      <c r="S88" s="5" t="inlineStr"/>
      <c r="T88" s="5" t="inlineStr"/>
      <c r="U88" s="5" t="inlineStr">
        <is>
          <t>Yes</t>
        </is>
      </c>
      <c r="V88" s="5" t="n">
        <v>1</v>
      </c>
      <c r="W88" s="5" t="inlineStr">
        <is>
          <t>2026-05-19 feat(full-session): fishing overhaul, FPS fix, dock elevation, clean world, sanctuary v2</t>
        </is>
      </c>
      <c r="X88" s="5" t="inlineStr"/>
      <c r="Y88" s="6" t="n">
        <v>297</v>
      </c>
    </row>
    <row r="89">
      <c r="A89" s="5" t="inlineStr">
        <is>
          <t>MOD-085</t>
        </is>
      </c>
      <c r="B89" s="5" t="inlineStr">
        <is>
          <t>js/v2/WorldTraderJosh.js</t>
        </is>
      </c>
      <c r="C89" s="5" t="inlineStr">
        <is>
          <t>SUB-16</t>
        </is>
      </c>
      <c r="D89" s="5" t="inlineStr">
        <is>
          <t>Legacy / unused code</t>
        </is>
      </c>
      <c r="E89" s="5" t="inlineStr">
        <is>
          <t>Unreferenced by any entry page</t>
        </is>
      </c>
      <c r="F89" s="5" t="n"/>
      <c r="G89" s="5" t="inlineStr">
        <is>
          <t>TraderJosh</t>
        </is>
      </c>
      <c r="H89" s="5" t="inlineStr"/>
      <c r="I89" s="5" t="inlineStr">
        <is>
          <t>Sacred Adventures v2 — TraderJosh3d NPC. Loads `Assets/TraderJosh3d.glb` and plants him standing in front of Tipi 1, facing the lodge. Position is offset slightly east of the sacred-deck centre so he doesn't block the doorway approach a player walks up to from the southern spawn corridor. Tipi 1 anchor is world origin (0, 0); the deck radius is ~4.7 m, so Josh stands at ~6 m south of origin, just past the deck rim. He's a non-interactable static greeter for now (no animation mixer, no walk controller) — the broader "walk to YB + wave at player" choreography can hang off this module's `_root` l</t>
        </is>
      </c>
      <c r="J89" s="5" t="inlineStr">
        <is>
          <t>268 lines, 10.8 KB. update() at L173 (77 lines).</t>
        </is>
      </c>
      <c r="K89" s="5" t="inlineStr">
        <is>
          <t>MOD-083, MOD-098, MOD-104</t>
        </is>
      </c>
      <c r="L89" s="5" t="inlineStr"/>
      <c r="M89" s="5" t="inlineStr"/>
      <c r="N89" s="5" t="inlineStr"/>
      <c r="O89" s="5" t="inlineStr"/>
      <c r="P89" s="5" t="inlineStr"/>
      <c r="Q89" s="5" t="inlineStr"/>
      <c r="R89" s="5" t="inlineStr"/>
      <c r="S89" s="5" t="inlineStr">
        <is>
          <t>Assets/TraderJosh3d.glb</t>
        </is>
      </c>
      <c r="T89" s="5" t="inlineStr"/>
      <c r="U89" s="5" t="inlineStr"/>
      <c r="V89" s="5" t="n">
        <v>1</v>
      </c>
      <c r="W89" s="5" t="inlineStr">
        <is>
          <t>2026-05-19 feat(full-session): fishing overhaul, FPS fix, dock elevation, clean world, sanctuary v2</t>
        </is>
      </c>
      <c r="X89" s="5" t="inlineStr"/>
      <c r="Y89" s="6" t="n">
        <v>268</v>
      </c>
    </row>
    <row r="90">
      <c r="A90" s="5" t="inlineStr">
        <is>
          <t>MOD-086</t>
        </is>
      </c>
      <c r="B90" s="5" t="inlineStr">
        <is>
          <t>js/v2/anu/AdaptiveRenderPolicy.js</t>
        </is>
      </c>
      <c r="C90" s="5" t="inlineStr">
        <is>
          <t>SUB-04</t>
        </is>
      </c>
      <c r="D90" s="5" t="inlineStr">
        <is>
          <t>Render governance</t>
        </is>
      </c>
      <c r="E90" s="5" t="inlineStr">
        <is>
          <t>Imported library (no module lifecycle)</t>
        </is>
      </c>
      <c r="F90" s="5" t="n"/>
      <c r="G90" s="5" t="inlineStr"/>
      <c r="H90" s="5" t="inlineStr"/>
      <c r="I90" s="5" t="inlineStr">
        <is>
          <t>Stress / relax hysteresis over PiP cadence — Phase 1 sentient-runtime loop. Raises stride (fewer PiP 3D draws per second) when frames run hot; eases back toward constants.js baseline when stable.</t>
        </is>
      </c>
      <c r="J90" s="5" t="inlineStr">
        <is>
          <t>87 lines, 2.6 KB. No update().</t>
        </is>
      </c>
      <c r="K90" s="5" t="inlineStr">
        <is>
          <t>MOD-096, MOD-103</t>
        </is>
      </c>
      <c r="L90" s="5" t="inlineStr">
        <is>
          <t>MOD-059, MOD-101</t>
        </is>
      </c>
      <c r="M90" s="5" t="inlineStr"/>
      <c r="N90" s="5" t="inlineStr">
        <is>
          <t>AnuUniverse</t>
        </is>
      </c>
      <c r="O90" s="5" t="inlineStr"/>
      <c r="P90" s="5" t="inlineStr"/>
      <c r="Q90" s="5" t="inlineStr"/>
      <c r="R90" s="5" t="inlineStr"/>
      <c r="S90" s="5" t="inlineStr"/>
      <c r="T90" s="5" t="inlineStr"/>
      <c r="U90" s="5" t="inlineStr">
        <is>
          <t>Yes</t>
        </is>
      </c>
      <c r="V90" s="5" t="n">
        <v>2</v>
      </c>
      <c r="W90" s="5" t="inlineStr">
        <is>
          <t>2026-06-01 fix(render): refresh-aware adaptive thresholds — stop perpetual shedding at 57-60fps on 60Hz</t>
        </is>
      </c>
      <c r="X90" s="5" t="inlineStr">
        <is>
          <t>FND-08</t>
        </is>
      </c>
      <c r="Y90" s="6" t="n">
        <v>87</v>
      </c>
    </row>
    <row r="91">
      <c r="A91" s="5" t="inlineStr">
        <is>
          <t>MOD-087</t>
        </is>
      </c>
      <c r="B91" s="5" t="inlineStr">
        <is>
          <t>js/v2/anu/AnuErrorAndStressLedger.js</t>
        </is>
      </c>
      <c r="C91" s="5" t="inlineStr">
        <is>
          <t>SUB-03</t>
        </is>
      </c>
      <c r="D91" s="5" t="inlineStr">
        <is>
          <t>ANU governance &amp; telemetry</t>
        </is>
      </c>
      <c r="E91" s="5" t="inlineStr">
        <is>
          <t>Imported library (no module lifecycle)</t>
        </is>
      </c>
      <c r="F91" s="5" t="n"/>
      <c r="G91" s="5" t="inlineStr"/>
      <c r="H91" s="5" t="inlineStr"/>
      <c r="I91" s="5" t="inlineStr">
        <is>
          <t>Central error capture + pipeline stress samples for Anu. Exports JSON-friendly payloads so humans / AI coders can tune constants when stress persists.</t>
        </is>
      </c>
      <c r="J91" s="5" t="inlineStr">
        <is>
          <t>222 lines, 6.9 KB. No update().</t>
        </is>
      </c>
      <c r="K91" s="5" t="inlineStr">
        <is>
          <t>MOD-092, MOD-093, MOD-096, MOD-100, MOD-103</t>
        </is>
      </c>
      <c r="L91" s="5" t="inlineStr">
        <is>
          <t>MOD-059, MOD-088, MOD-101</t>
        </is>
      </c>
      <c r="M91" s="5" t="inlineStr"/>
      <c r="N91" s="5" t="inlineStr"/>
      <c r="O91" s="5" t="inlineStr">
        <is>
          <t>MODULE_LOAD_ERROR; ORCHESTRATOR_LOOP_ERROR; PIPELINE_STRESS_LEVEL</t>
        </is>
      </c>
      <c r="P91" s="5" t="inlineStr"/>
      <c r="Q91" s="5" t="inlineStr"/>
      <c r="R91" s="5" t="inlineStr"/>
      <c r="S91" s="5" t="inlineStr"/>
      <c r="T91" s="5" t="inlineStr"/>
      <c r="U91" s="5" t="inlineStr">
        <is>
          <t>Yes</t>
        </is>
      </c>
      <c r="V91" s="5" t="n">
        <v>2</v>
      </c>
      <c r="W91" s="5" t="inlineStr">
        <is>
          <t>2026-05-10 feat(v2): legacy-quality forest pipeline as Trees · 2× slots · ANU</t>
        </is>
      </c>
      <c r="X91" s="5" t="inlineStr"/>
      <c r="Y91" s="6" t="n">
        <v>222</v>
      </c>
    </row>
    <row r="92">
      <c r="A92" s="5" t="inlineStr">
        <is>
          <t>MOD-088</t>
        </is>
      </c>
      <c r="B92" s="5" t="inlineStr">
        <is>
          <t>js/v2/anu/AnuFuzzyPipelineSensor.js</t>
        </is>
      </c>
      <c r="C92" s="5" t="inlineStr">
        <is>
          <t>SUB-03</t>
        </is>
      </c>
      <c r="D92" s="5" t="inlineStr">
        <is>
          <t>ANU governance &amp; telemetry</t>
        </is>
      </c>
      <c r="E92" s="5" t="inlineStr">
        <is>
          <t>Imported library (no module lifecycle)</t>
        </is>
      </c>
      <c r="F92" s="5" t="n"/>
      <c r="G92" s="5" t="inlineStr"/>
      <c r="H92" s="5" t="inlineStr"/>
      <c r="I92" s="5" t="inlineStr">
        <is>
          <t>Fuzzy bottleneck sensor for Anu. Converts raw frame/render/scene/error telemetry into an AI-readable diagnosis. This is intentionally heuristic: it should point attention to the likely pressure point without pretending one metric is the whole truth.</t>
        </is>
      </c>
      <c r="J92" s="5" t="inlineStr">
        <is>
          <t>219 lines, 6.3 KB. No update().</t>
        </is>
      </c>
      <c r="K92" s="5" t="inlineStr">
        <is>
          <t>MOD-087, MOD-092, MOD-096, MOD-097, MOD-103</t>
        </is>
      </c>
      <c r="L92" s="5" t="inlineStr">
        <is>
          <t>MOD-091, MOD-101</t>
        </is>
      </c>
      <c r="M92" s="5" t="inlineStr"/>
      <c r="N92" s="5" t="inlineStr">
        <is>
          <t>anuOrchestrator</t>
        </is>
      </c>
      <c r="O92" s="5" t="inlineStr"/>
      <c r="P92" s="5" t="inlineStr"/>
      <c r="Q92" s="5" t="inlineStr"/>
      <c r="R92" s="5" t="inlineStr"/>
      <c r="S92" s="5" t="inlineStr"/>
      <c r="T92" s="5" t="inlineStr"/>
      <c r="U92" s="5" t="inlineStr">
        <is>
          <t>Yes</t>
        </is>
      </c>
      <c r="V92" s="5" t="n">
        <v>2</v>
      </c>
      <c r="W92" s="5" t="inlineStr">
        <is>
          <t>2026-05-27 fix(hud,anu): remove trees-banner CTA and fix pip-pass false-bottleneck label</t>
        </is>
      </c>
      <c r="X92" s="5" t="inlineStr"/>
      <c r="Y92" s="6" t="n">
        <v>219</v>
      </c>
    </row>
    <row r="93">
      <c r="A93" s="5" t="inlineStr">
        <is>
          <t>MOD-089</t>
        </is>
      </c>
      <c r="B93" s="5" t="inlineStr">
        <is>
          <t>js/v2/anu/AnuGovernanceRules.js</t>
        </is>
      </c>
      <c r="C93" s="5" t="inlineStr">
        <is>
          <t>SUB-03</t>
        </is>
      </c>
      <c r="D93" s="5" t="inlineStr">
        <is>
          <t>ANU governance &amp; telemetry</t>
        </is>
      </c>
      <c r="E93" s="5" t="inlineStr">
        <is>
          <t>Imported library (no module lifecycle)</t>
        </is>
      </c>
      <c r="F93" s="5" t="n"/>
      <c r="G93" s="5" t="inlineStr"/>
      <c r="H93" s="5" t="inlineStr"/>
      <c r="I93" s="5" t="inlineStr">
        <is>
          <t>Anu governance rules. These are runtime contracts, not lore: every V2 model and interaction path should be added through these rules so ANU can verify what governs it.</t>
        </is>
      </c>
      <c r="J93" s="5" t="inlineStr">
        <is>
          <t>162 lines, 5.1 KB. No update().</t>
        </is>
      </c>
      <c r="K93" s="5" t="inlineStr">
        <is>
          <t>MOD-098</t>
        </is>
      </c>
      <c r="L93" s="5" t="inlineStr">
        <is>
          <t>MOD-060, MOD-091, MOD-101</t>
        </is>
      </c>
      <c r="M93" s="5" t="inlineStr"/>
      <c r="N93" s="5" t="inlineStr">
        <is>
          <t>WorldPhysics; anuOrchestrator</t>
        </is>
      </c>
      <c r="O93" s="5" t="inlineStr"/>
      <c r="P93" s="5" t="inlineStr"/>
      <c r="Q93" s="5" t="inlineStr"/>
      <c r="R93" s="5" t="inlineStr"/>
      <c r="S93" s="5" t="inlineStr"/>
      <c r="T93" s="5" t="inlineStr"/>
      <c r="U93" s="5" t="inlineStr">
        <is>
          <t>Yes</t>
        </is>
      </c>
      <c r="V93" s="5" t="n">
        <v>2</v>
      </c>
      <c r="W93" s="5" t="inlineStr">
        <is>
          <t>2026-05-24 Fix compass PIP letters rightside up and register Antigravity in Anu governance</t>
        </is>
      </c>
      <c r="X93" s="5" t="inlineStr"/>
      <c r="Y93" s="6" t="n">
        <v>162</v>
      </c>
    </row>
    <row r="94">
      <c r="A94" s="5" t="inlineStr">
        <is>
          <t>MOD-090</t>
        </is>
      </c>
      <c r="B94" s="5" t="inlineStr">
        <is>
          <t>js/v2/anu/AnuNatureAwareness.js</t>
        </is>
      </c>
      <c r="C94" s="5" t="inlineStr">
        <is>
          <t>SUB-07</t>
        </is>
      </c>
      <c r="D94" s="5" t="inlineStr">
        <is>
          <t>Fauna</t>
        </is>
      </c>
      <c r="E94" s="5" t="inlineStr">
        <is>
          <t>Imported library (no module lifecycle)</t>
        </is>
      </c>
      <c r="F94" s="5" t="n"/>
      <c r="G94" s="5" t="inlineStr"/>
      <c r="H94" s="5" t="inlineStr"/>
      <c r="I94" s="5" t="inlineStr">
        <is>
          <t>Sacred Adventures v2 — Anu Nature Awareness service. Goal (May-16 2026 user spec: "communicate with ANU how it will control the AI of each animal as if it were aware of each other and the player"). A small registry that lets every animal in the world know: 1. WHERE the player is right now (cached from `WorldPhysics._bodies[0]` on every `tick()`). 2. WHERE the other animals are, by kind (deer, rabbit, fish, ...). 3. Whether a panic ALARM has recently been raised, and at what XZ. Behaviour modules call: • `register({ id, kind, x, z, panicRadius, alertRadius })` once. • `update(id, x, z)` per fra</t>
        </is>
      </c>
      <c r="J94" s="5" t="inlineStr">
        <is>
          <t>280 lines, 8.9 KB. update() at L114 (6 lines).</t>
        </is>
      </c>
      <c r="K94" s="5" t="inlineStr">
        <is>
          <t>MOD-061, MOD-093, MOD-100</t>
        </is>
      </c>
      <c r="L94" s="5" t="inlineStr">
        <is>
          <t>MOD-059</t>
        </is>
      </c>
      <c r="M94" s="5" t="inlineStr"/>
      <c r="N94" s="5" t="inlineStr">
        <is>
          <t>WorldPhysics</t>
        </is>
      </c>
      <c r="O94" s="5" t="inlineStr">
        <is>
          <t>FAUNA_TICK</t>
        </is>
      </c>
      <c r="P94" s="5" t="inlineStr"/>
      <c r="Q94" s="5" t="inlineStr">
        <is>
          <t>AnuNatureAwareness; uses:AnuNatureAwareness; uses:WorldPhysics</t>
        </is>
      </c>
      <c r="R94" s="5" t="inlineStr"/>
      <c r="S94" s="5" t="inlineStr"/>
      <c r="T94" s="5" t="inlineStr"/>
      <c r="U94" s="5" t="inlineStr">
        <is>
          <t>Yes</t>
        </is>
      </c>
      <c r="V94" s="5" t="n">
        <v>1</v>
      </c>
      <c r="W94" s="5" t="inlineStr">
        <is>
          <t>2026-05-19 feat(full-session): fishing overhaul, FPS fix, dock elevation, clean world, sanctuary v2</t>
        </is>
      </c>
      <c r="X94" s="5" t="inlineStr"/>
      <c r="Y94" s="6" t="n">
        <v>280</v>
      </c>
    </row>
    <row r="95">
      <c r="A95" s="5" t="inlineStr">
        <is>
          <t>MOD-091</t>
        </is>
      </c>
      <c r="B95" s="5" t="inlineStr">
        <is>
          <t>js/v2/anu/AnuWorldSensorium.js</t>
        </is>
      </c>
      <c r="C95" s="5" t="inlineStr">
        <is>
          <t>SUB-03</t>
        </is>
      </c>
      <c r="D95" s="5" t="inlineStr">
        <is>
          <t>ANU governance &amp; telemetry</t>
        </is>
      </c>
      <c r="E95" s="5" t="inlineStr">
        <is>
          <t>Imported library (no module lifecycle)</t>
        </is>
      </c>
      <c r="F95" s="5" t="n"/>
      <c r="G95" s="5" t="inlineStr"/>
      <c r="H95" s="5" t="inlineStr"/>
      <c r="I95" s="5" t="inlineStr">
        <is>
          <t>Anu World Sensorium. A single awareness snapshot for AI/tools: what is alive in the V2 world, what domain it belongs to, whether it is interactable, and what ANU should watch before more flora/fauna/NPC/building/item systems are added.</t>
        </is>
      </c>
      <c r="J95" s="5" t="inlineStr">
        <is>
          <t>162 lines, 6.3 KB. No update().</t>
        </is>
      </c>
      <c r="K95" s="5" t="inlineStr">
        <is>
          <t>MOD-088, MOD-089, MOD-097, MOD-098</t>
        </is>
      </c>
      <c r="L95" s="5" t="inlineStr">
        <is>
          <t>MOD-101</t>
        </is>
      </c>
      <c r="M95" s="5" t="inlineStr"/>
      <c r="N95" s="5" t="inlineStr"/>
      <c r="O95" s="5" t="inlineStr"/>
      <c r="P95" s="5" t="inlineStr"/>
      <c r="Q95" s="5" t="inlineStr"/>
      <c r="R95" s="5" t="inlineStr"/>
      <c r="S95" s="5" t="inlineStr"/>
      <c r="T95" s="5" t="inlineStr"/>
      <c r="U95" s="5" t="inlineStr">
        <is>
          <t>Yes</t>
        </is>
      </c>
      <c r="V95" s="5" t="n">
        <v>1</v>
      </c>
      <c r="W95" s="5" t="inlineStr">
        <is>
          <t>2026-05-10 feat(v2): add ANU world governance sensorium</t>
        </is>
      </c>
      <c r="X95" s="5" t="inlineStr"/>
      <c r="Y95" s="6" t="n">
        <v>162</v>
      </c>
    </row>
    <row r="96">
      <c r="A96" s="5" t="inlineStr">
        <is>
          <t>MOD-092</t>
        </is>
      </c>
      <c r="B96" s="5" t="inlineStr">
        <is>
          <t>js/v2/anu/FrameBudget.js</t>
        </is>
      </c>
      <c r="C96" s="5" t="inlineStr">
        <is>
          <t>SUB-04</t>
        </is>
      </c>
      <c r="D96" s="5" t="inlineStr">
        <is>
          <t>Render governance</t>
        </is>
      </c>
      <c r="E96" s="5" t="inlineStr">
        <is>
          <t>Imported library (no module lifecycle)</t>
        </is>
      </c>
      <c r="F96" s="5" t="n"/>
      <c r="G96" s="5" t="inlineStr"/>
      <c r="H96" s="5" t="inlineStr"/>
      <c r="I96" s="5" t="inlineStr">
        <is>
          <t>Wall-clock frame duration sampling for Anu / adaptive policy (main thread).</t>
        </is>
      </c>
      <c r="J96" s="5" t="inlineStr">
        <is>
          <t>118 lines, 3.4 KB. No update(). Writes 1 globals.</t>
        </is>
      </c>
      <c r="K96" s="5" t="inlineStr">
        <is>
          <t>MOD-103</t>
        </is>
      </c>
      <c r="L96" s="5" t="inlineStr">
        <is>
          <t>MOD-002, MOD-013, MOD-020, MOD-021, MOD-026, MOD-035, MOD-059, MOD-060, MOD-064, MOD-087, MOD-088, MOD-101</t>
        </is>
      </c>
      <c r="M96" s="5" t="inlineStr">
        <is>
          <t>AnuUniverse</t>
        </is>
      </c>
      <c r="N96" s="5" t="inlineStr"/>
      <c r="O96" s="5" t="inlineStr"/>
      <c r="P96" s="5" t="inlineStr"/>
      <c r="Q96" s="5" t="inlineStr"/>
      <c r="R96" s="5" t="inlineStr"/>
      <c r="S96" s="5" t="inlineStr"/>
      <c r="T96" s="5" t="inlineStr"/>
      <c r="U96" s="5" t="inlineStr">
        <is>
          <t>Yes</t>
        </is>
      </c>
      <c r="V96" s="5" t="n">
        <v>7</v>
      </c>
      <c r="W96" s="5" t="inlineStr">
        <is>
          <t>2026-06-01 fix(render): refresh-aware adaptive thresholds — stop perpetual shedding at 57-60fps on 60Hz</t>
        </is>
      </c>
      <c r="X96" s="5" t="inlineStr">
        <is>
          <t>FND-07</t>
        </is>
      </c>
      <c r="Y96" s="6" t="n">
        <v>118</v>
      </c>
    </row>
    <row r="97">
      <c r="A97" s="5" t="inlineStr">
        <is>
          <t>MOD-093</t>
        </is>
      </c>
      <c r="B97" s="5" t="inlineStr">
        <is>
          <t>js/v2/anu/InteractionBus.js</t>
        </is>
      </c>
      <c r="C97" s="5" t="inlineStr">
        <is>
          <t>SUB-03</t>
        </is>
      </c>
      <c r="D97" s="5" t="inlineStr">
        <is>
          <t>ANU governance &amp; telemetry</t>
        </is>
      </c>
      <c r="E97" s="5" t="inlineStr">
        <is>
          <t>Imported library (no module lifecycle)</t>
        </is>
      </c>
      <c r="F97" s="5" t="n"/>
      <c r="G97" s="5" t="inlineStr"/>
      <c r="H97" s="5" t="inlineStr"/>
      <c r="I97" s="5" t="inlineStr">
        <is>
          <t>Anu — central interaction dispatch (UI, physics-adjacent events, orchestration). Event name constants: ./anuEvents.js (import ANU_EVENTS from there).</t>
        </is>
      </c>
      <c r="J97" s="5" t="inlineStr">
        <is>
          <t>43 lines, 1.0 KB. No update().</t>
        </is>
      </c>
      <c r="K97" s="5" t="inlineStr"/>
      <c r="L97" s="5" t="inlineStr">
        <is>
          <t>MOD-002, MOD-016, MOD-018, MOD-029, MOD-030, MOD-033, MOD-047, MOD-055, MOD-058, MOD-059, MOD-069, MOD-070, MOD-071, MOD-075, MOD-087, MOD-090, MOD-097, MOD-101</t>
        </is>
      </c>
      <c r="M97" s="5" t="inlineStr"/>
      <c r="N97" s="5" t="inlineStr"/>
      <c r="O97" s="5" t="inlineStr"/>
      <c r="P97" s="5" t="inlineStr"/>
      <c r="Q97" s="5" t="inlineStr"/>
      <c r="R97" s="5" t="inlineStr"/>
      <c r="S97" s="5" t="inlineStr"/>
      <c r="T97" s="5" t="inlineStr"/>
      <c r="U97" s="5" t="inlineStr">
        <is>
          <t>Yes</t>
        </is>
      </c>
      <c r="V97" s="5" t="n">
        <v>1</v>
      </c>
      <c r="W97" s="5" t="inlineStr">
        <is>
          <t>2026-05-09 feat(v2): sentient runtime plan + Phase 1 adaptive PiP &amp; frame budget</t>
        </is>
      </c>
      <c r="X97" s="5" t="inlineStr">
        <is>
          <t>FND-10</t>
        </is>
      </c>
      <c r="Y97" s="6" t="n">
        <v>43</v>
      </c>
    </row>
    <row r="98">
      <c r="A98" s="5" t="inlineStr">
        <is>
          <t>MOD-094</t>
        </is>
      </c>
      <c r="B98" s="5" t="inlineStr">
        <is>
          <t>js/v2/anu/PipOrthoRingDiskClip.js</t>
        </is>
      </c>
      <c r="C98" s="5" t="inlineStr">
        <is>
          <t>SUB-05</t>
        </is>
      </c>
      <c r="D98" s="5" t="inlineStr">
        <is>
          <t>PiP minimap &amp; compass</t>
        </is>
      </c>
      <c r="E98" s="5" t="inlineStr">
        <is>
          <t>Imported library (no module lifecycle)</t>
        </is>
      </c>
      <c r="F98" s="5" t="n"/>
      <c r="G98" s="5" t="inlineStr"/>
      <c r="H98" s="5" t="inlineStr"/>
      <c r="I98" s="5" t="inlineStr">
        <is>
          <t>PiP ortho minimap (#pipCanvas): simplified to a standard simple camera pass. Disables custom shader compiling/discard checks to restore solid rendering performance.</t>
        </is>
      </c>
      <c r="J98" s="5" t="inlineStr">
        <is>
          <t>58 lines, 1.3 KB. No update().</t>
        </is>
      </c>
      <c r="K98" s="5" t="inlineStr">
        <is>
          <t>MOD-061</t>
        </is>
      </c>
      <c r="L98" s="5" t="inlineStr">
        <is>
          <t>MOD-055, MOD-059, MOD-082</t>
        </is>
      </c>
      <c r="M98" s="5" t="inlineStr"/>
      <c r="N98" s="5" t="inlineStr"/>
      <c r="O98" s="5" t="inlineStr"/>
      <c r="P98" s="5" t="inlineStr"/>
      <c r="Q98" s="5" t="inlineStr">
        <is>
          <t>PipOrthoBranchClip</t>
        </is>
      </c>
      <c r="R98" s="5" t="inlineStr"/>
      <c r="S98" s="5" t="inlineStr"/>
      <c r="T98" s="5" t="inlineStr"/>
      <c r="U98" s="5" t="inlineStr">
        <is>
          <t>Yes</t>
        </is>
      </c>
      <c r="V98" s="5" t="n">
        <v>3</v>
      </c>
      <c r="W98" s="5" t="inlineStr">
        <is>
          <t>2026-05-28 perf(pip): disable ortho fragment discard clipping and super-cull all trees to maximize FPS</t>
        </is>
      </c>
      <c r="X98" s="5" t="inlineStr"/>
      <c r="Y98" s="6" t="n">
        <v>58</v>
      </c>
    </row>
    <row r="99">
      <c r="A99" s="5" t="inlineStr">
        <is>
          <t>MOD-095</t>
        </is>
      </c>
      <c r="B99" s="5" t="inlineStr">
        <is>
          <t>js/v2/anu/PipRenderStrategy.js</t>
        </is>
      </c>
      <c r="C99" s="5" t="inlineStr">
        <is>
          <t>SUB-04</t>
        </is>
      </c>
      <c r="D99" s="5" t="inlineStr">
        <is>
          <t>Render governance</t>
        </is>
      </c>
      <c r="E99" s="5" t="inlineStr">
        <is>
          <t>Imported library (no module lifecycle)</t>
        </is>
      </c>
      <c r="F99" s="5" t="n"/>
      <c r="G99" s="5" t="inlineStr"/>
      <c r="H99" s="5" t="inlineStr"/>
      <c r="I99" s="5" t="inlineStr"/>
      <c r="J99" s="5" t="inlineStr">
        <is>
          <t>130 lines, 3.6 KB. No update().</t>
        </is>
      </c>
      <c r="K99" s="5" t="inlineStr">
        <is>
          <t>MOD-106</t>
        </is>
      </c>
      <c r="L99" s="5" t="inlineStr">
        <is>
          <t>MOD-101</t>
        </is>
      </c>
      <c r="M99" s="5" t="inlineStr"/>
      <c r="N99" s="5" t="inlineStr">
        <is>
          <t>devicePixelRatio</t>
        </is>
      </c>
      <c r="O99" s="5" t="inlineStr"/>
      <c r="P99" s="5" t="inlineStr"/>
      <c r="Q99" s="5" t="inlineStr"/>
      <c r="R99" s="5" t="inlineStr"/>
      <c r="S99" s="5" t="inlineStr"/>
      <c r="T99" s="5" t="inlineStr"/>
      <c r="U99" s="5" t="inlineStr">
        <is>
          <t>Yes</t>
        </is>
      </c>
      <c r="V99" s="5" t="n">
        <v>3</v>
      </c>
      <c r="W99" s="5" t="inlineStr">
        <is>
          <t>2026-05-19 feat(full-session): fishing overhaul, FPS fix, dock elevation, clean world, sanctuary v2</t>
        </is>
      </c>
      <c r="X99" s="5" t="inlineStr"/>
      <c r="Y99" s="6" t="n">
        <v>130</v>
      </c>
    </row>
    <row r="100">
      <c r="A100" s="5" t="inlineStr">
        <is>
          <t>MOD-096</t>
        </is>
      </c>
      <c r="B100" s="5" t="inlineStr">
        <is>
          <t>js/v2/anu/RenderingGovernor.js</t>
        </is>
      </c>
      <c r="C100" s="5" t="inlineStr">
        <is>
          <t>SUB-04</t>
        </is>
      </c>
      <c r="D100" s="5" t="inlineStr">
        <is>
          <t>Render governance</t>
        </is>
      </c>
      <c r="E100" s="5" t="inlineStr">
        <is>
          <t>Imported library (no module lifecycle)</t>
        </is>
      </c>
      <c r="F100" s="5" t="n"/>
      <c r="G100" s="5" t="inlineStr"/>
      <c r="H100" s="5" t="inlineStr"/>
      <c r="I100" s="5" t="inlineStr">
        <is>
          <t>Anu — rendering policy (single source of truth for multi-pass WebGL). Imported by Orchestrator before AnuModule loads so PiP decisions never drift.</t>
        </is>
      </c>
      <c r="J100" s="5" t="inlineStr">
        <is>
          <t>86 lines, 2.7 KB. No update().</t>
        </is>
      </c>
      <c r="K100" s="5" t="inlineStr">
        <is>
          <t>MOD-103</t>
        </is>
      </c>
      <c r="L100" s="5" t="inlineStr">
        <is>
          <t>MOD-002, MOD-059, MOD-060, MOD-086, MOD-087, MOD-088, MOD-101</t>
        </is>
      </c>
      <c r="M100" s="5" t="inlineStr"/>
      <c r="N100" s="5" t="inlineStr"/>
      <c r="O100" s="5" t="inlineStr"/>
      <c r="P100" s="5" t="inlineStr"/>
      <c r="Q100" s="5" t="inlineStr"/>
      <c r="R100" s="5" t="inlineStr"/>
      <c r="S100" s="5" t="inlineStr"/>
      <c r="T100" s="5" t="inlineStr"/>
      <c r="U100" s="5" t="inlineStr">
        <is>
          <t>Yes</t>
        </is>
      </c>
      <c r="V100" s="5" t="n">
        <v>3</v>
      </c>
      <c r="W100" s="5" t="inlineStr">
        <is>
          <t>2026-05-26 feat(fps): wire AnuAdaptiveDpr — Anu's FPS guardian now active</t>
        </is>
      </c>
      <c r="X100" s="5" t="inlineStr"/>
      <c r="Y100" s="6" t="n">
        <v>86</v>
      </c>
    </row>
    <row r="101">
      <c r="A101" s="5" t="inlineStr">
        <is>
          <t>MOD-097</t>
        </is>
      </c>
      <c r="B101" s="5" t="inlineStr">
        <is>
          <t>js/v2/anu/SceneModelInventory.js</t>
        </is>
      </c>
      <c r="C101" s="5" t="inlineStr">
        <is>
          <t>SUB-03</t>
        </is>
      </c>
      <c r="D101" s="5" t="inlineStr">
        <is>
          <t>ANU governance &amp; telemetry</t>
        </is>
      </c>
      <c r="E101" s="5" t="inlineStr">
        <is>
          <t>Imported library (no module lifecycle)</t>
        </is>
      </c>
      <c r="F101" s="5" t="n"/>
      <c r="G101" s="5" t="inlineStr"/>
      <c r="H101" s="5" t="inlineStr"/>
      <c r="I101" s="5" t="inlineStr">
        <is>
          <t>Full scene-graph inventory for Anu — every drawable Three.js object under the engine scene. Sampled on an interval (not every frame) to avoid traversal cost on large forests.</t>
        </is>
      </c>
      <c r="J101" s="5" t="inlineStr">
        <is>
          <t>386 lines, 11.4 KB. No update().</t>
        </is>
      </c>
      <c r="K101" s="5" t="inlineStr">
        <is>
          <t>MOD-093, MOD-100</t>
        </is>
      </c>
      <c r="L101" s="5" t="inlineStr">
        <is>
          <t>MOD-059, MOD-088, MOD-091, MOD-098, MOD-101</t>
        </is>
      </c>
      <c r="M101" s="5" t="inlineStr"/>
      <c r="N101" s="5" t="inlineStr"/>
      <c r="O101" s="5" t="inlineStr">
        <is>
          <t>SCENE_INVENTORY_TICK</t>
        </is>
      </c>
      <c r="P101" s="5" t="inlineStr"/>
      <c r="Q101" s="5" t="inlineStr"/>
      <c r="R101" s="5" t="inlineStr"/>
      <c r="S101" s="5" t="inlineStr"/>
      <c r="T101" s="5" t="inlineStr"/>
      <c r="U101" s="5" t="inlineStr">
        <is>
          <t>Yes</t>
        </is>
      </c>
      <c r="V101" s="5" t="n">
        <v>4</v>
      </c>
      <c r="W101" s="5" t="inlineStr">
        <is>
          <t>2026-05-19 feat(full-session): fishing overhaul, FPS fix, dock elevation, clean world, sanctuary v2</t>
        </is>
      </c>
      <c r="X101" s="5" t="inlineStr">
        <is>
          <t>FND-09</t>
        </is>
      </c>
      <c r="Y101" s="6" t="n">
        <v>386</v>
      </c>
    </row>
    <row r="102">
      <c r="A102" s="5" t="inlineStr">
        <is>
          <t>MOD-098</t>
        </is>
      </c>
      <c r="B102" s="5" t="inlineStr">
        <is>
          <t>js/v2/anu/SimulationController.js</t>
        </is>
      </c>
      <c r="C102" s="5" t="inlineStr">
        <is>
          <t>SUB-03</t>
        </is>
      </c>
      <c r="D102" s="5" t="inlineStr">
        <is>
          <t>ANU governance &amp; telemetry</t>
        </is>
      </c>
      <c r="E102" s="5" t="inlineStr">
        <is>
          <t>Imported library (no module lifecycle)</t>
        </is>
      </c>
      <c r="F102" s="5" t="n"/>
      <c r="G102" s="5" t="inlineStr"/>
      <c r="H102" s="5" t="inlineStr"/>
      <c r="I102" s="5" t="inlineStr">
        <is>
          <t>Anu as simulation controller — conceptual center for player IO, flora/fauna, structures, and population (NPCs). Active modules + InteractionBus events + scene inventory roll up here.</t>
        </is>
      </c>
      <c r="J102" s="5" t="inlineStr">
        <is>
          <t>119 lines, 4.7 KB. No update().</t>
        </is>
      </c>
      <c r="K102" s="5" t="inlineStr">
        <is>
          <t>MOD-097</t>
        </is>
      </c>
      <c r="L102" s="5" t="inlineStr">
        <is>
          <t>MOD-002, MOD-003, MOD-004, MOD-005, MOD-006, MOD-007, MOD-008, MOD-009, MOD-010, MOD-011, MOD-012, MOD-013, MOD-014, MOD-015, MOD-016, MOD-018, MOD-019, MOD-020, MOD-021, MOD-022, MOD-023, MOD-024, MOD-027, MOD-028, MOD-029, MOD-030, MOD-033, MOD-035, MOD-037, MOD-038, MOD-039, MOD-040, MOD-041, MOD-042, MOD-043, MOD-044, MOD-047, MOD-050, MOD-052, MOD-053, MOD-055, MOD-062, MOD-068, MOD-069, MOD-070, MOD-072, MOD-073, MOD-074, MOD-075, MOD-078, MOD-079, MOD-080, MOD-081, MOD-082, MOD-084, MOD-085, MOD-089, MOD-091, MOD-101</t>
        </is>
      </c>
      <c r="M102" s="5" t="inlineStr"/>
      <c r="N102" s="5" t="inlineStr">
        <is>
          <t>anuOrchestrator</t>
        </is>
      </c>
      <c r="O102" s="5" t="inlineStr"/>
      <c r="P102" s="5" t="inlineStr"/>
      <c r="Q102" s="5" t="inlineStr"/>
      <c r="R102" s="5" t="inlineStr"/>
      <c r="S102" s="5" t="inlineStr"/>
      <c r="T102" s="5" t="inlineStr"/>
      <c r="U102" s="5" t="inlineStr">
        <is>
          <t>Yes</t>
        </is>
      </c>
      <c r="V102" s="5" t="n">
        <v>3</v>
      </c>
      <c r="W102" s="5" t="inlineStr">
        <is>
          <t>2026-05-10 feat(v2): legacy-quality forest pipeline as Trees · 2× slots · ANU</t>
        </is>
      </c>
      <c r="X102" s="5" t="inlineStr"/>
      <c r="Y102" s="6" t="n">
        <v>119</v>
      </c>
    </row>
    <row r="103">
      <c r="A103" s="5" t="inlineStr">
        <is>
          <t>MOD-099</t>
        </is>
      </c>
      <c r="B103" s="5" t="inlineStr">
        <is>
          <t>js/v2/anu/TravelFloorCircleMaterials.js</t>
        </is>
      </c>
      <c r="C103" s="5" t="inlineStr">
        <is>
          <t>SUB-03</t>
        </is>
      </c>
      <c r="D103" s="5" t="inlineStr">
        <is>
          <t>ANU governance &amp; telemetry</t>
        </is>
      </c>
      <c r="E103" s="5" t="inlineStr">
        <is>
          <t>Imported library (no module lifecycle)</t>
        </is>
      </c>
      <c r="F103" s="5" t="n"/>
      <c r="G103" s="5" t="inlineStr"/>
      <c r="H103" s="5" t="inlineStr"/>
      <c r="I103" s="5" t="inlineStr"/>
      <c r="J103" s="5" t="inlineStr">
        <is>
          <t>200 lines, 5.5 KB. No update().</t>
        </is>
      </c>
      <c r="K103" s="5" t="inlineStr"/>
      <c r="L103" s="5" t="inlineStr">
        <is>
          <t>MOD-023, MOD-038, MOD-041, MOD-070, MOD-082</t>
        </is>
      </c>
      <c r="M103" s="5" t="inlineStr"/>
      <c r="N103" s="5" t="inlineStr"/>
      <c r="O103" s="5" t="inlineStr"/>
      <c r="P103" s="5" t="inlineStr"/>
      <c r="Q103" s="5" t="inlineStr"/>
      <c r="R103" s="5" t="inlineStr"/>
      <c r="S103" s="5" t="inlineStr"/>
      <c r="T103" s="5" t="inlineStr"/>
      <c r="U103" s="5" t="inlineStr">
        <is>
          <t>Yes</t>
        </is>
      </c>
      <c r="V103" s="5" t="n">
        <v>5</v>
      </c>
      <c r="W103" s="5" t="inlineStr">
        <is>
          <t>2026-05-29 feat(sanctuary): permanent start pos, baby blue fishing circle, and photorealistic wide dark wood dock</t>
        </is>
      </c>
      <c r="X103" s="5" t="inlineStr"/>
      <c r="Y103" s="6" t="n">
        <v>200</v>
      </c>
    </row>
    <row r="104">
      <c r="A104" s="5" t="inlineStr">
        <is>
          <t>MOD-100</t>
        </is>
      </c>
      <c r="B104" s="5" t="inlineStr">
        <is>
          <t>js/v2/anu/anuEvents.js</t>
        </is>
      </c>
      <c r="C104" s="5" t="inlineStr">
        <is>
          <t>SUB-03</t>
        </is>
      </c>
      <c r="D104" s="5" t="inlineStr">
        <is>
          <t>ANU governance &amp; telemetry</t>
        </is>
      </c>
      <c r="E104" s="5" t="inlineStr">
        <is>
          <t>Imported library (no module lifecycle)</t>
        </is>
      </c>
      <c r="F104" s="5" t="n"/>
      <c r="G104" s="5" t="inlineStr"/>
      <c r="H104" s="5" t="inlineStr"/>
      <c r="I104" s="5" t="inlineStr">
        <is>
          <t>Canonical interaction names — grep-friendly &amp; stable for tools / LLMs.</t>
        </is>
      </c>
      <c r="J104" s="5" t="inlineStr">
        <is>
          <t>51 lines, 2.9 KB. No update().</t>
        </is>
      </c>
      <c r="K104" s="5" t="inlineStr"/>
      <c r="L104" s="5" t="inlineStr">
        <is>
          <t>MOD-002, MOD-016, MOD-018, MOD-029, MOD-033, MOD-047, MOD-049, MOD-055, MOD-058, MOD-059, MOD-069, MOD-070, MOD-071, MOD-075, MOD-087, MOD-090, MOD-097, MOD-101</t>
        </is>
      </c>
      <c r="M104" s="5" t="inlineStr"/>
      <c r="N104" s="5" t="inlineStr"/>
      <c r="O104" s="5" t="inlineStr"/>
      <c r="P104" s="5" t="inlineStr"/>
      <c r="Q104" s="5" t="inlineStr"/>
      <c r="R104" s="5" t="inlineStr"/>
      <c r="S104" s="5" t="inlineStr"/>
      <c r="T104" s="5" t="inlineStr"/>
      <c r="U104" s="5" t="inlineStr">
        <is>
          <t>Yes</t>
        </is>
      </c>
      <c r="V104" s="5" t="n">
        <v>6</v>
      </c>
      <c r="W104" s="5" t="inlineStr">
        <is>
          <t>2026-05-19 feat(full-session): fishing overhaul, FPS fix, dock elevation, clean world, sanctuary v2</t>
        </is>
      </c>
      <c r="X104" s="5" t="inlineStr"/>
      <c r="Y104" s="6" t="n">
        <v>51</v>
      </c>
    </row>
    <row r="105">
      <c r="A105" s="5" t="inlineStr">
        <is>
          <t>MOD-101</t>
        </is>
      </c>
      <c r="B105" s="5" t="inlineStr">
        <is>
          <t>js/v2/anu/index.js</t>
        </is>
      </c>
      <c r="C105" s="5" t="inlineStr">
        <is>
          <t>SUB-03</t>
        </is>
      </c>
      <c r="D105" s="5" t="inlineStr">
        <is>
          <t>ANU governance &amp; telemetry</t>
        </is>
      </c>
      <c r="E105" s="5" t="inlineStr">
        <is>
          <t>Imported library (no module lifecycle)</t>
        </is>
      </c>
      <c r="F105" s="5" t="n"/>
      <c r="G105" s="5" t="inlineStr"/>
      <c r="H105" s="5" t="inlineStr"/>
      <c r="I105" s="5" t="inlineStr"/>
      <c r="J105" s="5" t="inlineStr">
        <is>
          <t>61 lines, 1.5 KB. No update().</t>
        </is>
      </c>
      <c r="K105" s="5" t="inlineStr">
        <is>
          <t>MOD-086, MOD-087, MOD-088, MOD-089, MOD-091, MOD-092, MOD-093, MOD-095, MOD-096, MOD-097, MOD-098, MOD-100</t>
        </is>
      </c>
      <c r="L105" s="5" t="inlineStr">
        <is>
          <t>MOD-049</t>
        </is>
      </c>
      <c r="M105" s="5" t="inlineStr"/>
      <c r="N105" s="5" t="inlineStr"/>
      <c r="O105" s="5" t="inlineStr"/>
      <c r="P105" s="5" t="inlineStr"/>
      <c r="Q105" s="5" t="inlineStr"/>
      <c r="R105" s="5" t="inlineStr"/>
      <c r="S105" s="5" t="inlineStr"/>
      <c r="T105" s="5" t="inlineStr"/>
      <c r="U105" s="5" t="inlineStr">
        <is>
          <t>Yes</t>
        </is>
      </c>
      <c r="V105" s="5" t="n">
        <v>3</v>
      </c>
      <c r="W105" s="5" t="inlineStr">
        <is>
          <t>2026-05-10 feat(v2): add ANU world governance sensorium</t>
        </is>
      </c>
      <c r="X105" s="5" t="inlineStr"/>
      <c r="Y105" s="6" t="n">
        <v>61</v>
      </c>
    </row>
    <row r="106">
      <c r="A106" s="5" t="inlineStr">
        <is>
          <t>MOD-102</t>
        </is>
      </c>
      <c r="B106" s="5" t="inlineStr">
        <is>
          <t>js/v2/anu/pipelineMemory.js</t>
        </is>
      </c>
      <c r="C106" s="5" t="inlineStr">
        <is>
          <t>SUB-03</t>
        </is>
      </c>
      <c r="D106" s="5" t="inlineStr">
        <is>
          <t>ANU governance &amp; telemetry</t>
        </is>
      </c>
      <c r="E106" s="5" t="inlineStr">
        <is>
          <t>Imported library (no module lifecycle)</t>
        </is>
      </c>
      <c r="F106" s="5" t="n"/>
      <c r="G106" s="5" t="inlineStr"/>
      <c r="H106" s="5" t="inlineStr"/>
      <c r="I106" s="5" t="inlineStr">
        <is>
          <t>ANU_PIPELINE_MEMORY — the v2 engine's incident &amp; invariant ledger. Extracted from AnuModule.js so the parent file stays about coordination (binding the live SacredOrchestrator, exposing window.AnuUniverse, running evaluateLivePipelineRisk) rather than the ever-growing card list. Pure data — no side effects, no imports, no behaviour. Append when the pipeline teaches something new. Each card: { id, learnedAt, title, summary, impact?, mitigations[], files[], probeLedger? }. Consumed (and re-exported) by js/v2/AnuModule.js. Legacy import paths (js/v2/UniverseModule.js, downstream tooling) keep wor</t>
        </is>
      </c>
      <c r="J106" s="5" t="inlineStr">
        <is>
          <t>1164 lines, 163.4 KB. No update().</t>
        </is>
      </c>
      <c r="K106" s="5" t="inlineStr"/>
      <c r="L106" s="5" t="inlineStr">
        <is>
          <t>MOD-049</t>
        </is>
      </c>
      <c r="M106" s="5" t="inlineStr"/>
      <c r="N106" s="5" t="inlineStr">
        <is>
          <t>AnuUniverse; ThreeIconManager; _gpuSlideStarted; _v2HandleAnuInput; _v2SetCinematicUiHidden; addEventListener; natureSpiritSystem; postMessage</t>
        </is>
      </c>
      <c r="O106" s="5" t="inlineStr"/>
      <c r="P106" s="5" t="inlineStr"/>
      <c r="Q106" s="5" t="inlineStr"/>
      <c r="R106" s="5" t="inlineStr">
        <is>
          <t>REQ_AUTOWALK_TO_ENTITY</t>
        </is>
      </c>
      <c r="S106" s="5" t="inlineStr">
        <is>
          <t>Assets/&lt;NAME&gt;.glb; Assets/Avatar3.glb; Assets/NPC.BHG.glb; Assets/NPC.YB.glb; Assets/Tipi.yellowbutterfly/tipi.yellowbutterfly.glb; Assets/[removed]/little_pond__fish/scene.gltf; Assets/animated.deer/source/[deer+3d+model].glb; Assets/animated.stag.glb; Assets/bush.glb; Assets/flora/reeds.glb; Assets/landscape-scenes/terrain/rock.mossy.glb; Assets/pond1.glb; Assets/rabbit.animated.glb; Assets/tree.glb</t>
        </is>
      </c>
      <c r="T106" s="5" t="inlineStr"/>
      <c r="U106" s="5" t="inlineStr">
        <is>
          <t>Yes</t>
        </is>
      </c>
      <c r="V106" s="5" t="n">
        <v>3</v>
      </c>
      <c r="W106" s="5" t="inlineStr">
        <is>
          <t>2026-05-24 chore(anu): replace deprecated WORDPRESS/ references in pipelineMemory.js to fix check-assets scanner</t>
        </is>
      </c>
      <c r="X106" s="5" t="inlineStr">
        <is>
          <t>FND-12</t>
        </is>
      </c>
      <c r="Y106" s="6" t="n">
        <v>1164</v>
      </c>
    </row>
    <row r="107">
      <c r="A107" s="5" t="inlineStr">
        <is>
          <t>MOD-103</t>
        </is>
      </c>
      <c r="B107" s="5" t="inlineStr">
        <is>
          <t>js/v2/constants.js</t>
        </is>
      </c>
      <c r="C107" s="5" t="inlineStr">
        <is>
          <t>SUB-15</t>
        </is>
      </c>
      <c r="D107" s="5" t="inlineStr">
        <is>
          <t>Shared config &amp; helpers</t>
        </is>
      </c>
      <c r="E107" s="5" t="inlineStr">
        <is>
          <t>Imported library (no module lifecycle)</t>
        </is>
      </c>
      <c r="F107" s="5" t="n"/>
      <c r="G107" s="5" t="inlineStr"/>
      <c r="H107" s="5" t="inlineStr"/>
      <c r="I107" s="5" t="inlineStr">
        <is>
          <t>Shared world tuning — matches terrain hex shader (World.js neu hex). Flat-to-flat hex span ≈ sqrt(3) × circumradius.</t>
        </is>
      </c>
      <c r="J107" s="5" t="inlineStr">
        <is>
          <t>862 lines, 41.1 KB. No update().</t>
        </is>
      </c>
      <c r="K107" s="5" t="inlineStr"/>
      <c r="L107" s="5" t="inlineStr">
        <is>
          <t>MOD-011, MOD-023, MOD-038, MOD-039, MOD-041, MOD-049, MOD-054, MOD-055, MOD-056, MOD-058, MOD-059, MOD-060, MOD-062, MOD-067, MOD-068, MOD-069, MOD-070, MOD-073, MOD-075, MOD-076, MOD-078, MOD-079, MOD-080, MOD-082, MOD-083, MOD-086, MOD-087, MOD-088, MOD-092, MOD-096</t>
        </is>
      </c>
      <c r="M107" s="5" t="inlineStr"/>
      <c r="N107" s="5" t="inlineStr"/>
      <c r="O107" s="5" t="inlineStr"/>
      <c r="P107" s="5" t="inlineStr"/>
      <c r="Q107" s="5" t="inlineStr"/>
      <c r="R107" s="5" t="inlineStr"/>
      <c r="S107" s="5" t="inlineStr">
        <is>
          <t>Assets/NPC.YB.glb; Assets/tree.glb</t>
        </is>
      </c>
      <c r="T107" s="5" t="inlineStr"/>
      <c r="U107" s="5" t="inlineStr">
        <is>
          <t>Yes</t>
        </is>
      </c>
      <c r="V107" s="5" t="n">
        <v>18</v>
      </c>
      <c r="W107" s="5" t="inlineStr">
        <is>
          <t>2026-05-31 perf(render): cap DPR at 1.5 + raise PIP stride 12-&gt;16 for FPS</t>
        </is>
      </c>
      <c r="X107" s="5" t="inlineStr"/>
      <c r="Y107" s="6" t="n">
        <v>862</v>
      </c>
    </row>
    <row r="108">
      <c r="A108" s="5" t="inlineStr">
        <is>
          <t>MOD-104</t>
        </is>
      </c>
      <c r="B108" s="5" t="inlineStr">
        <is>
          <t>js/v2/gltfLoaderSetup.js</t>
        </is>
      </c>
      <c r="C108" s="5" t="inlineStr">
        <is>
          <t>SUB-14</t>
        </is>
      </c>
      <c r="D108" s="5" t="inlineStr">
        <is>
          <t>Asset pipeline</t>
        </is>
      </c>
      <c r="E108" s="5" t="inlineStr">
        <is>
          <t>Imported library (no module lifecycle)</t>
        </is>
      </c>
      <c r="F108" s="5" t="n"/>
      <c r="G108" s="5" t="inlineStr"/>
      <c r="H108" s="5" t="inlineStr"/>
      <c r="I108" s="5" t="inlineStr">
        <is>
          <t>Shared Draco decoder for GLTFLoader (Avatar + legacy ThreeIcons guide meshes). Decoder WASM is loaded from the local bundled vendor copy so compressed glTF works offline. Phase 2 of the 120-FPS refactor (May-19 2026): use the full CPU for parallel Draco decoding, and preload the decoder WASM during boot so the first GLB doesn't pay the wasm-fetch cost mid-load.</t>
        </is>
      </c>
      <c r="J108" s="5" t="inlineStr">
        <is>
          <t>94 lines, 4.1 KB. No update().</t>
        </is>
      </c>
      <c r="K108" s="5" t="inlineStr"/>
      <c r="L108" s="5" t="inlineStr">
        <is>
          <t>MOD-011, MOD-034, MOD-038, MOD-039, MOD-050, MOD-054, MOD-055, MOD-067, MOD-068, MOD-070, MOD-074, MOD-075, MOD-078, MOD-082, MOD-085</t>
        </is>
      </c>
      <c r="M108" s="5" t="inlineStr"/>
      <c r="N108" s="5" t="inlineStr"/>
      <c r="O108" s="5" t="inlineStr"/>
      <c r="P108" s="5" t="inlineStr"/>
      <c r="Q108" s="5" t="inlineStr"/>
      <c r="R108" s="5" t="inlineStr"/>
      <c r="S108" s="5" t="inlineStr"/>
      <c r="T108" s="5" t="inlineStr"/>
      <c r="U108" s="5" t="inlineStr">
        <is>
          <t>Yes</t>
        </is>
      </c>
      <c r="V108" s="5" t="n">
        <v>8</v>
      </c>
      <c r="W108" s="5" t="inlineStr">
        <is>
          <t>2026-10-22 perf(assets): lite REG + tipi models (PLN-01, PLN-02)</t>
        </is>
      </c>
      <c r="X108" s="5" t="inlineStr">
        <is>
          <t>FND-02, FND-20</t>
        </is>
      </c>
      <c r="Y108" s="6" t="n">
        <v>94</v>
      </c>
    </row>
    <row r="109">
      <c r="A109" s="5" t="inlineStr">
        <is>
          <t>MOD-105</t>
        </is>
      </c>
      <c r="B109" s="5" t="inlineStr">
        <is>
          <t>js/v2/lunarPhase.js</t>
        </is>
      </c>
      <c r="C109" s="5" t="inlineStr">
        <is>
          <t>SUB-16</t>
        </is>
      </c>
      <c r="D109" s="5" t="inlineStr">
        <is>
          <t>Legacy / unused code</t>
        </is>
      </c>
      <c r="E109" s="5" t="inlineStr">
        <is>
          <t>Legacy v2 build only (index.v2.html)</t>
        </is>
      </c>
      <c r="F109" s="5" t="n"/>
      <c r="G109" s="5" t="inlineStr"/>
      <c r="H109" s="5" t="inlineStr"/>
      <c r="I109" s="5" t="inlineStr">
        <is>
          <t>Synodic lunar phase index (8 buckets) shared by PiP moondial + main-view night sky moon.</t>
        </is>
      </c>
      <c r="J109" s="5" t="inlineStr">
        <is>
          <t>22 lines, 0.7 KB. No update().</t>
        </is>
      </c>
      <c r="K109" s="5" t="inlineStr"/>
      <c r="L109" s="5" t="inlineStr">
        <is>
          <t>MOD-071</t>
        </is>
      </c>
      <c r="M109" s="5" t="inlineStr"/>
      <c r="N109" s="5" t="inlineStr"/>
      <c r="O109" s="5" t="inlineStr"/>
      <c r="P109" s="5" t="inlineStr"/>
      <c r="Q109" s="5" t="inlineStr"/>
      <c r="R109" s="5" t="inlineStr"/>
      <c r="S109" s="5" t="inlineStr"/>
      <c r="T109" s="5" t="inlineStr"/>
      <c r="U109" s="5" t="inlineStr">
        <is>
          <t>Yes</t>
        </is>
      </c>
      <c r="V109" s="5" t="n">
        <v>1</v>
      </c>
      <c r="W109" s="5" t="inlineStr">
        <is>
          <t>2026-05-10 feat(v2): update index.v2.html with governance and sensorium exports</t>
        </is>
      </c>
      <c r="X109" s="5" t="inlineStr"/>
      <c r="Y109" s="6" t="n">
        <v>22</v>
      </c>
    </row>
    <row r="110">
      <c r="A110" s="5" t="inlineStr">
        <is>
          <t>MOD-106</t>
        </is>
      </c>
      <c r="B110" s="5" t="inlineStr">
        <is>
          <t>js/v2/pipCompassMath.js</t>
        </is>
      </c>
      <c r="C110" s="5" t="inlineStr">
        <is>
          <t>SUB-05</t>
        </is>
      </c>
      <c r="D110" s="5" t="inlineStr">
        <is>
          <t>PiP minimap &amp; compass</t>
        </is>
      </c>
      <c r="E110" s="5" t="inlineStr">
        <is>
          <t>Imported library (no module lifecycle)</t>
        </is>
      </c>
      <c r="F110" s="5" t="n"/>
      <c r="G110" s="5" t="inlineStr"/>
      <c r="H110" s="5" t="inlineStr"/>
      <c r="I110" s="5" t="inlineStr">
        <is>
          <t>PiP compass — **single source of truth** for ring / tick rotation. Why this file exists (May-2026 incident log): The PiP dial kept “inverting” because **three different systems** all touched yaw without sharing one derivation: 1. `World.js` — `_yaw`, `_fwd = (-sin, 0, -cos)`, spawn at `π`, and the strafe / turn key polarity have each been tuned independently. 2. `js/v2/UIModule.js` — HTML `.compass-outer-ring` uses CSS `rotate()`. 3. `js/v2/anu/PipRenderStrategy.js` — the rare **surrogate-2D** PiP path used `ctx.rotate(-yaw)`, which is **not** the same transform as the HTML dial’s correct `180</t>
        </is>
      </c>
      <c r="J110" s="5" t="inlineStr">
        <is>
          <t>63 lines, 2.6 KB. No update().</t>
        </is>
      </c>
      <c r="K110" s="5" t="inlineStr"/>
      <c r="L110" s="5" t="inlineStr">
        <is>
          <t>MOD-064, MOD-095</t>
        </is>
      </c>
      <c r="M110" s="5" t="inlineStr"/>
      <c r="N110" s="5" t="inlineStr"/>
      <c r="O110" s="5" t="inlineStr"/>
      <c r="P110" s="5" t="inlineStr"/>
      <c r="Q110" s="5" t="inlineStr"/>
      <c r="R110" s="5" t="inlineStr"/>
      <c r="S110" s="5" t="inlineStr"/>
      <c r="T110" s="5" t="inlineStr"/>
      <c r="U110" s="5" t="inlineStr">
        <is>
          <t>Yes</t>
        </is>
      </c>
      <c r="V110" s="5" t="n">
        <v>1</v>
      </c>
      <c r="W110" s="5" t="inlineStr">
        <is>
          <t>2026-05-19 feat(full-session): fishing overhaul, FPS fix, dock elevation, clean world, sanctuary v2</t>
        </is>
      </c>
      <c r="X110" s="5" t="inlineStr"/>
      <c r="Y110" s="6" t="n">
        <v>63</v>
      </c>
    </row>
    <row r="111">
      <c r="A111" s="5" t="inlineStr">
        <is>
          <t>MOD-107</t>
        </is>
      </c>
      <c r="B111" s="5" t="inlineStr">
        <is>
          <t>js/v2/readThroughFoliage.js</t>
        </is>
      </c>
      <c r="C111" s="5" t="inlineStr">
        <is>
          <t>SUB-16</t>
        </is>
      </c>
      <c r="D111" s="5" t="inlineStr">
        <is>
          <t>Legacy / unused code</t>
        </is>
      </c>
      <c r="E111" s="5" t="inlineStr">
        <is>
          <t>Unreferenced by any entry page</t>
        </is>
      </c>
      <c r="F111" s="5" t="n"/>
      <c r="G111" s="5" t="inlineStr"/>
      <c r="H111" s="5" t="inlineStr"/>
      <c r="I111" s="5" t="inlineStr">
        <is>
          <t>VIP meshes (player by default) can draw after instanced flora with depth tests disabled so they stay readable through dense canopy. Structures may use `configureMeshesRenderOrderAboveFlora` so they stay opaque (depthTest stays true) while sorting above instanced trees. NPC / spirit characters use default render order so occlusion looks natural with the forest.</t>
        </is>
      </c>
      <c r="J111" s="5" t="inlineStr">
        <is>
          <t>47 lines, 1.5 KB. No update().</t>
        </is>
      </c>
      <c r="K111" s="5" t="inlineStr"/>
      <c r="L111" s="5" t="inlineStr"/>
      <c r="M111" s="5" t="inlineStr"/>
      <c r="N111" s="5" t="inlineStr"/>
      <c r="O111" s="5" t="inlineStr"/>
      <c r="P111" s="5" t="inlineStr"/>
      <c r="Q111" s="5" t="inlineStr"/>
      <c r="R111" s="5" t="inlineStr"/>
      <c r="S111" s="5" t="inlineStr"/>
      <c r="T111" s="5" t="inlineStr"/>
      <c r="U111" s="5" t="inlineStr"/>
      <c r="V111" s="5" t="n">
        <v>1</v>
      </c>
      <c r="W111" s="5" t="inlineStr">
        <is>
          <t>2026-05-10 feat(v2): update index.v2.html with governance and sensorium exports</t>
        </is>
      </c>
      <c r="X111" s="5" t="inlineStr"/>
      <c r="Y111" s="6" t="n">
        <v>47</v>
      </c>
    </row>
  </sheetData>
  <autoFilter ref="A4:X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0" customWidth="1" min="3" max="3"/>
    <col width="40" customWidth="1" min="4" max="4"/>
    <col width="44" customWidth="1" min="5" max="5"/>
    <col width="26" customWidth="1" min="6" max="6"/>
    <col width="12" customWidth="1" min="7" max="7"/>
  </cols>
  <sheetData>
    <row r="1">
      <c r="A1" s="9" t="inlineStr">
        <is>
          <t>Connections</t>
        </is>
      </c>
    </row>
    <row r="2">
      <c r="A2" s="10" t="inlineStr">
        <is>
          <t>Edge list for graph tools: Kind · From · To</t>
        </is>
      </c>
    </row>
    <row r="4" ht="30" customHeight="1">
      <c r="A4" s="12" t="inlineStr">
        <is>
          <t>Edge ID</t>
        </is>
      </c>
      <c r="B4" s="12" t="inlineStr">
        <is>
          <t>Kind</t>
        </is>
      </c>
      <c r="C4" s="12" t="inlineStr">
        <is>
          <t>From (MOD ID)</t>
        </is>
      </c>
      <c r="D4" s="12" t="inlineStr">
        <is>
          <t>From file</t>
        </is>
      </c>
      <c r="E4" s="12" t="inlineStr">
        <is>
          <t>To</t>
        </is>
      </c>
      <c r="F4" s="12" t="inlineStr">
        <is>
          <t>Detail</t>
        </is>
      </c>
      <c r="G4" s="12" t="inlineStr">
        <is>
          <t>Scope</t>
        </is>
      </c>
    </row>
    <row r="5">
      <c r="A5" s="5" t="inlineStr">
        <is>
          <t>EDG-0001</t>
        </is>
      </c>
      <c r="B5" s="5" t="inlineStr">
        <is>
          <t>import</t>
        </is>
      </c>
      <c r="C5" s="5" t="inlineStr">
        <is>
          <t>MOD-002</t>
        </is>
      </c>
      <c r="D5" s="5" t="inlineStr">
        <is>
          <t>js/sanctuary/AnuAdaptiveDpr.js</t>
        </is>
      </c>
      <c r="E5" s="5" t="inlineStr">
        <is>
          <t>MOD-092</t>
        </is>
      </c>
      <c r="F5" s="5" t="inlineStr">
        <is>
          <t>FrameBudget.js</t>
        </is>
      </c>
      <c r="G5" s="5" t="inlineStr">
        <is>
          <t>Live</t>
        </is>
      </c>
    </row>
    <row r="6">
      <c r="A6" s="5" t="inlineStr">
        <is>
          <t>EDG-0002</t>
        </is>
      </c>
      <c r="B6" s="5" t="inlineStr">
        <is>
          <t>import</t>
        </is>
      </c>
      <c r="C6" s="5" t="inlineStr">
        <is>
          <t>MOD-002</t>
        </is>
      </c>
      <c r="D6" s="5" t="inlineStr">
        <is>
          <t>js/sanctuary/AnuAdaptiveDpr.js</t>
        </is>
      </c>
      <c r="E6" s="5" t="inlineStr">
        <is>
          <t>MOD-093</t>
        </is>
      </c>
      <c r="F6" s="5" t="inlineStr">
        <is>
          <t>InteractionBus.js</t>
        </is>
      </c>
      <c r="G6" s="5" t="inlineStr">
        <is>
          <t>Live</t>
        </is>
      </c>
    </row>
    <row r="7">
      <c r="A7" s="5" t="inlineStr">
        <is>
          <t>EDG-0003</t>
        </is>
      </c>
      <c r="B7" s="5" t="inlineStr">
        <is>
          <t>import</t>
        </is>
      </c>
      <c r="C7" s="5" t="inlineStr">
        <is>
          <t>MOD-002</t>
        </is>
      </c>
      <c r="D7" s="5" t="inlineStr">
        <is>
          <t>js/sanctuary/AnuAdaptiveDpr.js</t>
        </is>
      </c>
      <c r="E7" s="5" t="inlineStr">
        <is>
          <t>MOD-096</t>
        </is>
      </c>
      <c r="F7" s="5" t="inlineStr">
        <is>
          <t>RenderingGovernor.js</t>
        </is>
      </c>
      <c r="G7" s="5" t="inlineStr">
        <is>
          <t>Live</t>
        </is>
      </c>
    </row>
    <row r="8">
      <c r="A8" s="5" t="inlineStr">
        <is>
          <t>EDG-0004</t>
        </is>
      </c>
      <c r="B8" s="5" t="inlineStr">
        <is>
          <t>import</t>
        </is>
      </c>
      <c r="C8" s="5" t="inlineStr">
        <is>
          <t>MOD-002</t>
        </is>
      </c>
      <c r="D8" s="5" t="inlineStr">
        <is>
          <t>js/sanctuary/AnuAdaptiveDpr.js</t>
        </is>
      </c>
      <c r="E8" s="5" t="inlineStr">
        <is>
          <t>MOD-098</t>
        </is>
      </c>
      <c r="F8" s="5" t="inlineStr">
        <is>
          <t>SimulationController.js</t>
        </is>
      </c>
      <c r="G8" s="5" t="inlineStr">
        <is>
          <t>Live</t>
        </is>
      </c>
    </row>
    <row r="9">
      <c r="A9" s="5" t="inlineStr">
        <is>
          <t>EDG-0005</t>
        </is>
      </c>
      <c r="B9" s="5" t="inlineStr">
        <is>
          <t>import</t>
        </is>
      </c>
      <c r="C9" s="5" t="inlineStr">
        <is>
          <t>MOD-002</t>
        </is>
      </c>
      <c r="D9" s="5" t="inlineStr">
        <is>
          <t>js/sanctuary/AnuAdaptiveDpr.js</t>
        </is>
      </c>
      <c r="E9" s="5" t="inlineStr">
        <is>
          <t>MOD-100</t>
        </is>
      </c>
      <c r="F9" s="5" t="inlineStr">
        <is>
          <t>anuEvents.js</t>
        </is>
      </c>
      <c r="G9" s="5" t="inlineStr">
        <is>
          <t>Live</t>
        </is>
      </c>
    </row>
    <row r="10">
      <c r="A10" s="5" t="inlineStr">
        <is>
          <t>EDG-0006</t>
        </is>
      </c>
      <c r="B10" s="5" t="inlineStr">
        <is>
          <t>anu-event-dispatch</t>
        </is>
      </c>
      <c r="C10" s="5" t="inlineStr">
        <is>
          <t>MOD-002</t>
        </is>
      </c>
      <c r="D10" s="5" t="inlineStr">
        <is>
          <t>js/sanctuary/AnuAdaptiveDpr.js</t>
        </is>
      </c>
      <c r="E10" s="5" t="inlineStr">
        <is>
          <t>ANU_EVENTS.RENDERING_DPR_CHANGE</t>
        </is>
      </c>
      <c r="F10" s="5" t="inlineStr"/>
      <c r="G10" s="5" t="inlineStr">
        <is>
          <t>Live</t>
        </is>
      </c>
    </row>
    <row r="11">
      <c r="A11" s="5" t="inlineStr">
        <is>
          <t>EDG-0007</t>
        </is>
      </c>
      <c r="B11" s="5" t="inlineStr">
        <is>
          <t>import</t>
        </is>
      </c>
      <c r="C11" s="5" t="inlineStr">
        <is>
          <t>MOD-003</t>
        </is>
      </c>
      <c r="D11" s="5" t="inlineStr">
        <is>
          <t>js/sanctuary/MoldGrowHill.js</t>
        </is>
      </c>
      <c r="E11" s="5" t="inlineStr">
        <is>
          <t>MOD-027</t>
        </is>
      </c>
      <c r="F11" s="5" t="inlineStr">
        <is>
          <t>SanctuaryGround.js</t>
        </is>
      </c>
      <c r="G11" s="5" t="inlineStr">
        <is>
          <t>Live</t>
        </is>
      </c>
    </row>
    <row r="12">
      <c r="A12" s="5" t="inlineStr">
        <is>
          <t>EDG-0008</t>
        </is>
      </c>
      <c r="B12" s="5" t="inlineStr">
        <is>
          <t>import</t>
        </is>
      </c>
      <c r="C12" s="5" t="inlineStr">
        <is>
          <t>MOD-003</t>
        </is>
      </c>
      <c r="D12" s="5" t="inlineStr">
        <is>
          <t>js/sanctuary/MoldGrowHill.js</t>
        </is>
      </c>
      <c r="E12" s="5" t="inlineStr">
        <is>
          <t>MOD-098</t>
        </is>
      </c>
      <c r="F12" s="5" t="inlineStr">
        <is>
          <t>SimulationController.js</t>
        </is>
      </c>
      <c r="G12" s="5" t="inlineStr">
        <is>
          <t>Live</t>
        </is>
      </c>
    </row>
    <row r="13">
      <c r="A13" s="5" t="inlineStr">
        <is>
          <t>EDG-0009</t>
        </is>
      </c>
      <c r="B13" s="5" t="inlineStr">
        <is>
          <t>import</t>
        </is>
      </c>
      <c r="C13" s="5" t="inlineStr">
        <is>
          <t>MOD-004</t>
        </is>
      </c>
      <c r="D13" s="5" t="inlineStr">
        <is>
          <t>js/sanctuary/MoldPlaceTipi.js</t>
        </is>
      </c>
      <c r="E13" s="5" t="inlineStr">
        <is>
          <t>MOD-027</t>
        </is>
      </c>
      <c r="F13" s="5" t="inlineStr">
        <is>
          <t>SanctuaryGround.js</t>
        </is>
      </c>
      <c r="G13" s="5" t="inlineStr">
        <is>
          <t>Live</t>
        </is>
      </c>
    </row>
    <row r="14">
      <c r="A14" s="5" t="inlineStr">
        <is>
          <t>EDG-0010</t>
        </is>
      </c>
      <c r="B14" s="5" t="inlineStr">
        <is>
          <t>import</t>
        </is>
      </c>
      <c r="C14" s="5" t="inlineStr">
        <is>
          <t>MOD-004</t>
        </is>
      </c>
      <c r="D14" s="5" t="inlineStr">
        <is>
          <t>js/sanctuary/MoldPlaceTipi.js</t>
        </is>
      </c>
      <c r="E14" s="5" t="inlineStr">
        <is>
          <t>MOD-098</t>
        </is>
      </c>
      <c r="F14" s="5" t="inlineStr">
        <is>
          <t>SimulationController.js</t>
        </is>
      </c>
      <c r="G14" s="5" t="inlineStr">
        <is>
          <t>Live</t>
        </is>
      </c>
    </row>
    <row r="15">
      <c r="A15" s="5" t="inlineStr">
        <is>
          <t>EDG-0011</t>
        </is>
      </c>
      <c r="B15" s="5" t="inlineStr">
        <is>
          <t>import</t>
        </is>
      </c>
      <c r="C15" s="5" t="inlineStr">
        <is>
          <t>MOD-005</t>
        </is>
      </c>
      <c r="D15" s="5" t="inlineStr">
        <is>
          <t>js/sanctuary/MoldPlantBush.js</t>
        </is>
      </c>
      <c r="E15" s="5" t="inlineStr">
        <is>
          <t>MOD-027</t>
        </is>
      </c>
      <c r="F15" s="5" t="inlineStr">
        <is>
          <t>SanctuaryGround.js</t>
        </is>
      </c>
      <c r="G15" s="5" t="inlineStr">
        <is>
          <t>Live</t>
        </is>
      </c>
    </row>
    <row r="16">
      <c r="A16" s="5" t="inlineStr">
        <is>
          <t>EDG-0012</t>
        </is>
      </c>
      <c r="B16" s="5" t="inlineStr">
        <is>
          <t>import</t>
        </is>
      </c>
      <c r="C16" s="5" t="inlineStr">
        <is>
          <t>MOD-005</t>
        </is>
      </c>
      <c r="D16" s="5" t="inlineStr">
        <is>
          <t>js/sanctuary/MoldPlantBush.js</t>
        </is>
      </c>
      <c r="E16" s="5" t="inlineStr">
        <is>
          <t>MOD-098</t>
        </is>
      </c>
      <c r="F16" s="5" t="inlineStr">
        <is>
          <t>SimulationController.js</t>
        </is>
      </c>
      <c r="G16" s="5" t="inlineStr">
        <is>
          <t>Live</t>
        </is>
      </c>
    </row>
    <row r="17">
      <c r="A17" s="5" t="inlineStr">
        <is>
          <t>EDG-0013</t>
        </is>
      </c>
      <c r="B17" s="5" t="inlineStr">
        <is>
          <t>import</t>
        </is>
      </c>
      <c r="C17" s="5" t="inlineStr">
        <is>
          <t>MOD-006</t>
        </is>
      </c>
      <c r="D17" s="5" t="inlineStr">
        <is>
          <t>js/sanctuary/MoldPlantFlower.js</t>
        </is>
      </c>
      <c r="E17" s="5" t="inlineStr">
        <is>
          <t>MOD-027</t>
        </is>
      </c>
      <c r="F17" s="5" t="inlineStr">
        <is>
          <t>SanctuaryGround.js</t>
        </is>
      </c>
      <c r="G17" s="5" t="inlineStr">
        <is>
          <t>Live</t>
        </is>
      </c>
    </row>
    <row r="18">
      <c r="A18" s="5" t="inlineStr">
        <is>
          <t>EDG-0014</t>
        </is>
      </c>
      <c r="B18" s="5" t="inlineStr">
        <is>
          <t>import</t>
        </is>
      </c>
      <c r="C18" s="5" t="inlineStr">
        <is>
          <t>MOD-006</t>
        </is>
      </c>
      <c r="D18" s="5" t="inlineStr">
        <is>
          <t>js/sanctuary/MoldPlantFlower.js</t>
        </is>
      </c>
      <c r="E18" s="5" t="inlineStr">
        <is>
          <t>MOD-098</t>
        </is>
      </c>
      <c r="F18" s="5" t="inlineStr">
        <is>
          <t>SimulationController.js</t>
        </is>
      </c>
      <c r="G18" s="5" t="inlineStr">
        <is>
          <t>Live</t>
        </is>
      </c>
    </row>
    <row r="19">
      <c r="A19" s="5" t="inlineStr">
        <is>
          <t>EDG-0015</t>
        </is>
      </c>
      <c r="B19" s="5" t="inlineStr">
        <is>
          <t>import</t>
        </is>
      </c>
      <c r="C19" s="5" t="inlineStr">
        <is>
          <t>MOD-007</t>
        </is>
      </c>
      <c r="D19" s="5" t="inlineStr">
        <is>
          <t>js/sanctuary/MoldPlantLily.js</t>
        </is>
      </c>
      <c r="E19" s="5" t="inlineStr">
        <is>
          <t>MOD-027</t>
        </is>
      </c>
      <c r="F19" s="5" t="inlineStr">
        <is>
          <t>SanctuaryGround.js</t>
        </is>
      </c>
      <c r="G19" s="5" t="inlineStr">
        <is>
          <t>Live</t>
        </is>
      </c>
    </row>
    <row r="20">
      <c r="A20" s="5" t="inlineStr">
        <is>
          <t>EDG-0016</t>
        </is>
      </c>
      <c r="B20" s="5" t="inlineStr">
        <is>
          <t>import</t>
        </is>
      </c>
      <c r="C20" s="5" t="inlineStr">
        <is>
          <t>MOD-007</t>
        </is>
      </c>
      <c r="D20" s="5" t="inlineStr">
        <is>
          <t>js/sanctuary/MoldPlantLily.js</t>
        </is>
      </c>
      <c r="E20" s="5" t="inlineStr">
        <is>
          <t>MOD-098</t>
        </is>
      </c>
      <c r="F20" s="5" t="inlineStr">
        <is>
          <t>SimulationController.js</t>
        </is>
      </c>
      <c r="G20" s="5" t="inlineStr">
        <is>
          <t>Live</t>
        </is>
      </c>
    </row>
    <row r="21">
      <c r="A21" s="5" t="inlineStr">
        <is>
          <t>EDG-0017</t>
        </is>
      </c>
      <c r="B21" s="5" t="inlineStr">
        <is>
          <t>import</t>
        </is>
      </c>
      <c r="C21" s="5" t="inlineStr">
        <is>
          <t>MOD-008</t>
        </is>
      </c>
      <c r="D21" s="5" t="inlineStr">
        <is>
          <t>js/sanctuary/MoldPlantRock.js</t>
        </is>
      </c>
      <c r="E21" s="5" t="inlineStr">
        <is>
          <t>MOD-027</t>
        </is>
      </c>
      <c r="F21" s="5" t="inlineStr">
        <is>
          <t>SanctuaryGround.js</t>
        </is>
      </c>
      <c r="G21" s="5" t="inlineStr">
        <is>
          <t>Live</t>
        </is>
      </c>
    </row>
    <row r="22">
      <c r="A22" s="5" t="inlineStr">
        <is>
          <t>EDG-0018</t>
        </is>
      </c>
      <c r="B22" s="5" t="inlineStr">
        <is>
          <t>import</t>
        </is>
      </c>
      <c r="C22" s="5" t="inlineStr">
        <is>
          <t>MOD-008</t>
        </is>
      </c>
      <c r="D22" s="5" t="inlineStr">
        <is>
          <t>js/sanctuary/MoldPlantRock.js</t>
        </is>
      </c>
      <c r="E22" s="5" t="inlineStr">
        <is>
          <t>MOD-098</t>
        </is>
      </c>
      <c r="F22" s="5" t="inlineStr">
        <is>
          <t>SimulationController.js</t>
        </is>
      </c>
      <c r="G22" s="5" t="inlineStr">
        <is>
          <t>Live</t>
        </is>
      </c>
    </row>
    <row r="23">
      <c r="A23" s="5" t="inlineStr">
        <is>
          <t>EDG-0019</t>
        </is>
      </c>
      <c r="B23" s="5" t="inlineStr">
        <is>
          <t>import</t>
        </is>
      </c>
      <c r="C23" s="5" t="inlineStr">
        <is>
          <t>MOD-009</t>
        </is>
      </c>
      <c r="D23" s="5" t="inlineStr">
        <is>
          <t>js/sanctuary/MoldPlantTree.js</t>
        </is>
      </c>
      <c r="E23" s="5" t="inlineStr">
        <is>
          <t>MOD-027</t>
        </is>
      </c>
      <c r="F23" s="5" t="inlineStr">
        <is>
          <t>SanctuaryGround.js</t>
        </is>
      </c>
      <c r="G23" s="5" t="inlineStr">
        <is>
          <t>Live</t>
        </is>
      </c>
    </row>
    <row r="24">
      <c r="A24" s="5" t="inlineStr">
        <is>
          <t>EDG-0020</t>
        </is>
      </c>
      <c r="B24" s="5" t="inlineStr">
        <is>
          <t>import</t>
        </is>
      </c>
      <c r="C24" s="5" t="inlineStr">
        <is>
          <t>MOD-009</t>
        </is>
      </c>
      <c r="D24" s="5" t="inlineStr">
        <is>
          <t>js/sanctuary/MoldPlantTree.js</t>
        </is>
      </c>
      <c r="E24" s="5" t="inlineStr">
        <is>
          <t>MOD-098</t>
        </is>
      </c>
      <c r="F24" s="5" t="inlineStr">
        <is>
          <t>SimulationController.js</t>
        </is>
      </c>
      <c r="G24" s="5" t="inlineStr">
        <is>
          <t>Live</t>
        </is>
      </c>
    </row>
    <row r="25">
      <c r="A25" s="5" t="inlineStr">
        <is>
          <t>EDG-0021</t>
        </is>
      </c>
      <c r="B25" s="5" t="inlineStr">
        <is>
          <t>import</t>
        </is>
      </c>
      <c r="C25" s="5" t="inlineStr">
        <is>
          <t>MOD-010</t>
        </is>
      </c>
      <c r="D25" s="5" t="inlineStr">
        <is>
          <t>js/sanctuary/SanctuaryAmbient.js</t>
        </is>
      </c>
      <c r="E25" s="5" t="inlineStr">
        <is>
          <t>MOD-098</t>
        </is>
      </c>
      <c r="F25" s="5" t="inlineStr">
        <is>
          <t>SimulationController.js</t>
        </is>
      </c>
      <c r="G25" s="5" t="inlineStr">
        <is>
          <t>Live</t>
        </is>
      </c>
    </row>
    <row r="26">
      <c r="A26" s="5" t="inlineStr">
        <is>
          <t>EDG-0022</t>
        </is>
      </c>
      <c r="B26" s="5" t="inlineStr">
        <is>
          <t>global-write</t>
        </is>
      </c>
      <c r="C26" s="5" t="inlineStr">
        <is>
          <t>MOD-010</t>
        </is>
      </c>
      <c r="D26" s="5" t="inlineStr">
        <is>
          <t>js/sanctuary/SanctuaryAmbient.js</t>
        </is>
      </c>
      <c r="E26" s="5" t="inlineStr">
        <is>
          <t>window.__sanctuaryMuted</t>
        </is>
      </c>
      <c r="F26" s="5" t="inlineStr"/>
      <c r="G26" s="5" t="inlineStr">
        <is>
          <t>Live</t>
        </is>
      </c>
    </row>
    <row r="27">
      <c r="A27" s="5" t="inlineStr">
        <is>
          <t>EDG-0023</t>
        </is>
      </c>
      <c r="B27" s="5" t="inlineStr">
        <is>
          <t>import</t>
        </is>
      </c>
      <c r="C27" s="5" t="inlineStr">
        <is>
          <t>MOD-011</t>
        </is>
      </c>
      <c r="D27" s="5" t="inlineStr">
        <is>
          <t>js/sanctuary/SanctuaryAvatar.js</t>
        </is>
      </c>
      <c r="E27" s="5" t="inlineStr">
        <is>
          <t>MOD-027</t>
        </is>
      </c>
      <c r="F27" s="5" t="inlineStr">
        <is>
          <t>SanctuaryGround.js</t>
        </is>
      </c>
      <c r="G27" s="5" t="inlineStr">
        <is>
          <t>Live</t>
        </is>
      </c>
    </row>
    <row r="28">
      <c r="A28" s="5" t="inlineStr">
        <is>
          <t>EDG-0024</t>
        </is>
      </c>
      <c r="B28" s="5" t="inlineStr">
        <is>
          <t>import</t>
        </is>
      </c>
      <c r="C28" s="5" t="inlineStr">
        <is>
          <t>MOD-011</t>
        </is>
      </c>
      <c r="D28" s="5" t="inlineStr">
        <is>
          <t>js/sanctuary/SanctuaryAvatar.js</t>
        </is>
      </c>
      <c r="E28" s="5" t="inlineStr">
        <is>
          <t>MOD-041</t>
        </is>
      </c>
      <c r="F28" s="5" t="inlineStr">
        <is>
          <t>SanctuaryTravelDisc.js</t>
        </is>
      </c>
      <c r="G28" s="5" t="inlineStr">
        <is>
          <t>Live</t>
        </is>
      </c>
    </row>
    <row r="29">
      <c r="A29" s="5" t="inlineStr">
        <is>
          <t>EDG-0025</t>
        </is>
      </c>
      <c r="B29" s="5" t="inlineStr">
        <is>
          <t>import</t>
        </is>
      </c>
      <c r="C29" s="5" t="inlineStr">
        <is>
          <t>MOD-011</t>
        </is>
      </c>
      <c r="D29" s="5" t="inlineStr">
        <is>
          <t>js/sanctuary/SanctuaryAvatar.js</t>
        </is>
      </c>
      <c r="E29" s="5" t="inlineStr">
        <is>
          <t>MOD-098</t>
        </is>
      </c>
      <c r="F29" s="5" t="inlineStr">
        <is>
          <t>SimulationController.js</t>
        </is>
      </c>
      <c r="G29" s="5" t="inlineStr">
        <is>
          <t>Live</t>
        </is>
      </c>
    </row>
    <row r="30">
      <c r="A30" s="5" t="inlineStr">
        <is>
          <t>EDG-0026</t>
        </is>
      </c>
      <c r="B30" s="5" t="inlineStr">
        <is>
          <t>import</t>
        </is>
      </c>
      <c r="C30" s="5" t="inlineStr">
        <is>
          <t>MOD-011</t>
        </is>
      </c>
      <c r="D30" s="5" t="inlineStr">
        <is>
          <t>js/sanctuary/SanctuaryAvatar.js</t>
        </is>
      </c>
      <c r="E30" s="5" t="inlineStr">
        <is>
          <t>MOD-103</t>
        </is>
      </c>
      <c r="F30" s="5" t="inlineStr">
        <is>
          <t>constants.js</t>
        </is>
      </c>
      <c r="G30" s="5" t="inlineStr">
        <is>
          <t>Live</t>
        </is>
      </c>
    </row>
    <row r="31">
      <c r="A31" s="5" t="inlineStr">
        <is>
          <t>EDG-0027</t>
        </is>
      </c>
      <c r="B31" s="5" t="inlineStr">
        <is>
          <t>import</t>
        </is>
      </c>
      <c r="C31" s="5" t="inlineStr">
        <is>
          <t>MOD-011</t>
        </is>
      </c>
      <c r="D31" s="5" t="inlineStr">
        <is>
          <t>js/sanctuary/SanctuaryAvatar.js</t>
        </is>
      </c>
      <c r="E31" s="5" t="inlineStr">
        <is>
          <t>MOD-104</t>
        </is>
      </c>
      <c r="F31" s="5" t="inlineStr">
        <is>
          <t>gltfLoaderSetup.js</t>
        </is>
      </c>
      <c r="G31" s="5" t="inlineStr">
        <is>
          <t>Live</t>
        </is>
      </c>
    </row>
    <row r="32">
      <c r="A32" s="5" t="inlineStr">
        <is>
          <t>EDG-0028</t>
        </is>
      </c>
      <c r="B32" s="5" t="inlineStr">
        <is>
          <t>global-write</t>
        </is>
      </c>
      <c r="C32" s="5" t="inlineStr">
        <is>
          <t>MOD-011</t>
        </is>
      </c>
      <c r="D32" s="5" t="inlineStr">
        <is>
          <t>js/sanctuary/SanctuaryAvatar.js</t>
        </is>
      </c>
      <c r="E32" s="5" t="inlineStr">
        <is>
          <t>window.__sanctuaryAvatar</t>
        </is>
      </c>
      <c r="F32" s="5" t="inlineStr"/>
      <c r="G32" s="5" t="inlineStr">
        <is>
          <t>Live</t>
        </is>
      </c>
    </row>
    <row r="33">
      <c r="A33" s="5" t="inlineStr">
        <is>
          <t>EDG-0029</t>
        </is>
      </c>
      <c r="B33" s="5" t="inlineStr">
        <is>
          <t>global-write</t>
        </is>
      </c>
      <c r="C33" s="5" t="inlineStr">
        <is>
          <t>MOD-011</t>
        </is>
      </c>
      <c r="D33" s="5" t="inlineStr">
        <is>
          <t>js/sanctuary/SanctuaryAvatar.js</t>
        </is>
      </c>
      <c r="E33" s="5" t="inlineStr">
        <is>
          <t>window.__sanctuaryPlayerYaw</t>
        </is>
      </c>
      <c r="F33" s="5" t="inlineStr"/>
      <c r="G33" s="5" t="inlineStr">
        <is>
          <t>Live</t>
        </is>
      </c>
    </row>
    <row r="34">
      <c r="A34" s="5" t="inlineStr">
        <is>
          <t>EDG-0030</t>
        </is>
      </c>
      <c r="B34" s="5" t="inlineStr">
        <is>
          <t>asset</t>
        </is>
      </c>
      <c r="C34" s="5" t="inlineStr">
        <is>
          <t>MOD-011</t>
        </is>
      </c>
      <c r="D34" s="5" t="inlineStr">
        <is>
          <t>js/sanctuary/SanctuaryAvatar.js</t>
        </is>
      </c>
      <c r="E34" s="5" t="inlineStr">
        <is>
          <t>Assets/Avatar3.glb</t>
        </is>
      </c>
      <c r="F34" s="5" t="inlineStr"/>
      <c r="G34" s="5" t="inlineStr">
        <is>
          <t>Live</t>
        </is>
      </c>
    </row>
    <row r="35">
      <c r="A35" s="5" t="inlineStr">
        <is>
          <t>EDG-0031</t>
        </is>
      </c>
      <c r="B35" s="5" t="inlineStr">
        <is>
          <t>asset</t>
        </is>
      </c>
      <c r="C35" s="5" t="inlineStr">
        <is>
          <t>MOD-011</t>
        </is>
      </c>
      <c r="D35" s="5" t="inlineStr">
        <is>
          <t>js/sanctuary/SanctuaryAvatar.js</t>
        </is>
      </c>
      <c r="E35" s="5" t="inlineStr">
        <is>
          <t>Assets/npc/Avatar-New.glb</t>
        </is>
      </c>
      <c r="F35" s="5" t="inlineStr"/>
      <c r="G35" s="5" t="inlineStr">
        <is>
          <t>Live</t>
        </is>
      </c>
    </row>
    <row r="36">
      <c r="A36" s="5" t="inlineStr">
        <is>
          <t>EDG-0032</t>
        </is>
      </c>
      <c r="B36" s="5" t="inlineStr">
        <is>
          <t>import</t>
        </is>
      </c>
      <c r="C36" s="5" t="inlineStr">
        <is>
          <t>MOD-012</t>
        </is>
      </c>
      <c r="D36" s="5" t="inlineStr">
        <is>
          <t>js/sanctuary/SanctuaryBraziers.js</t>
        </is>
      </c>
      <c r="E36" s="5" t="inlineStr">
        <is>
          <t>MOD-027</t>
        </is>
      </c>
      <c r="F36" s="5" t="inlineStr">
        <is>
          <t>SanctuaryGround.js</t>
        </is>
      </c>
      <c r="G36" s="5" t="inlineStr">
        <is>
          <t>Live</t>
        </is>
      </c>
    </row>
    <row r="37">
      <c r="A37" s="5" t="inlineStr">
        <is>
          <t>EDG-0033</t>
        </is>
      </c>
      <c r="B37" s="5" t="inlineStr">
        <is>
          <t>import</t>
        </is>
      </c>
      <c r="C37" s="5" t="inlineStr">
        <is>
          <t>MOD-012</t>
        </is>
      </c>
      <c r="D37" s="5" t="inlineStr">
        <is>
          <t>js/sanctuary/SanctuaryBraziers.js</t>
        </is>
      </c>
      <c r="E37" s="5" t="inlineStr">
        <is>
          <t>MOD-098</t>
        </is>
      </c>
      <c r="F37" s="5" t="inlineStr">
        <is>
          <t>SimulationController.js</t>
        </is>
      </c>
      <c r="G37" s="5" t="inlineStr">
        <is>
          <t>Live</t>
        </is>
      </c>
    </row>
    <row r="38">
      <c r="A38" s="5" t="inlineStr">
        <is>
          <t>EDG-0034</t>
        </is>
      </c>
      <c r="B38" s="5" t="inlineStr">
        <is>
          <t>global-write</t>
        </is>
      </c>
      <c r="C38" s="5" t="inlineStr">
        <is>
          <t>MOD-012</t>
        </is>
      </c>
      <c r="D38" s="5" t="inlineStr">
        <is>
          <t>js/sanctuary/SanctuaryBraziers.js</t>
        </is>
      </c>
      <c r="E38" s="5" t="inlineStr">
        <is>
          <t>window.__regenerateBraziers</t>
        </is>
      </c>
      <c r="F38" s="5" t="inlineStr"/>
      <c r="G38" s="5" t="inlineStr">
        <is>
          <t>Live</t>
        </is>
      </c>
    </row>
    <row r="39">
      <c r="A39" s="5" t="inlineStr">
        <is>
          <t>EDG-0035</t>
        </is>
      </c>
      <c r="B39" s="5" t="inlineStr">
        <is>
          <t>import</t>
        </is>
      </c>
      <c r="C39" s="5" t="inlineStr">
        <is>
          <t>MOD-013</t>
        </is>
      </c>
      <c r="D39" s="5" t="inlineStr">
        <is>
          <t>js/sanctuary/SanctuaryButterflies.js</t>
        </is>
      </c>
      <c r="E39" s="5" t="inlineStr">
        <is>
          <t>MOD-027</t>
        </is>
      </c>
      <c r="F39" s="5" t="inlineStr">
        <is>
          <t>SanctuaryGround.js</t>
        </is>
      </c>
      <c r="G39" s="5" t="inlineStr">
        <is>
          <t>Live</t>
        </is>
      </c>
    </row>
    <row r="40">
      <c r="A40" s="5" t="inlineStr">
        <is>
          <t>EDG-0036</t>
        </is>
      </c>
      <c r="B40" s="5" t="inlineStr">
        <is>
          <t>import</t>
        </is>
      </c>
      <c r="C40" s="5" t="inlineStr">
        <is>
          <t>MOD-013</t>
        </is>
      </c>
      <c r="D40" s="5" t="inlineStr">
        <is>
          <t>js/sanctuary/SanctuaryButterflies.js</t>
        </is>
      </c>
      <c r="E40" s="5" t="inlineStr">
        <is>
          <t>MOD-092</t>
        </is>
      </c>
      <c r="F40" s="5" t="inlineStr">
        <is>
          <t>FrameBudget.js</t>
        </is>
      </c>
      <c r="G40" s="5" t="inlineStr">
        <is>
          <t>Live</t>
        </is>
      </c>
    </row>
    <row r="41">
      <c r="A41" s="5" t="inlineStr">
        <is>
          <t>EDG-0037</t>
        </is>
      </c>
      <c r="B41" s="5" t="inlineStr">
        <is>
          <t>import</t>
        </is>
      </c>
      <c r="C41" s="5" t="inlineStr">
        <is>
          <t>MOD-013</t>
        </is>
      </c>
      <c r="D41" s="5" t="inlineStr">
        <is>
          <t>js/sanctuary/SanctuaryButterflies.js</t>
        </is>
      </c>
      <c r="E41" s="5" t="inlineStr">
        <is>
          <t>MOD-098</t>
        </is>
      </c>
      <c r="F41" s="5" t="inlineStr">
        <is>
          <t>SimulationController.js</t>
        </is>
      </c>
      <c r="G41" s="5" t="inlineStr">
        <is>
          <t>Live</t>
        </is>
      </c>
    </row>
    <row r="42">
      <c r="A42" s="5" t="inlineStr">
        <is>
          <t>EDG-0038</t>
        </is>
      </c>
      <c r="B42" s="5" t="inlineStr">
        <is>
          <t>import</t>
        </is>
      </c>
      <c r="C42" s="5" t="inlineStr">
        <is>
          <t>MOD-014</t>
        </is>
      </c>
      <c r="D42" s="5" t="inlineStr">
        <is>
          <t>js/sanctuary/SanctuaryCircles.js</t>
        </is>
      </c>
      <c r="E42" s="5" t="inlineStr">
        <is>
          <t>MOD-027</t>
        </is>
      </c>
      <c r="F42" s="5" t="inlineStr">
        <is>
          <t>SanctuaryGround.js</t>
        </is>
      </c>
      <c r="G42" s="5" t="inlineStr">
        <is>
          <t>Live</t>
        </is>
      </c>
    </row>
    <row r="43">
      <c r="A43" s="5" t="inlineStr">
        <is>
          <t>EDG-0039</t>
        </is>
      </c>
      <c r="B43" s="5" t="inlineStr">
        <is>
          <t>import</t>
        </is>
      </c>
      <c r="C43" s="5" t="inlineStr">
        <is>
          <t>MOD-014</t>
        </is>
      </c>
      <c r="D43" s="5" t="inlineStr">
        <is>
          <t>js/sanctuary/SanctuaryCircles.js</t>
        </is>
      </c>
      <c r="E43" s="5" t="inlineStr">
        <is>
          <t>MOD-098</t>
        </is>
      </c>
      <c r="F43" s="5" t="inlineStr">
        <is>
          <t>SimulationController.js</t>
        </is>
      </c>
      <c r="G43" s="5" t="inlineStr">
        <is>
          <t>Live</t>
        </is>
      </c>
    </row>
    <row r="44">
      <c r="A44" s="5" t="inlineStr">
        <is>
          <t>EDG-0040</t>
        </is>
      </c>
      <c r="B44" s="5" t="inlineStr">
        <is>
          <t>global-write</t>
        </is>
      </c>
      <c r="C44" s="5" t="inlineStr">
        <is>
          <t>MOD-014</t>
        </is>
      </c>
      <c r="D44" s="5" t="inlineStr">
        <is>
          <t>js/sanctuary/SanctuaryCircles.js</t>
        </is>
      </c>
      <c r="E44" s="5" t="inlineStr">
        <is>
          <t>window.sanctuaryPulse</t>
        </is>
      </c>
      <c r="F44" s="5" t="inlineStr"/>
      <c r="G44" s="5" t="inlineStr">
        <is>
          <t>Live</t>
        </is>
      </c>
    </row>
    <row r="45">
      <c r="A45" s="5" t="inlineStr">
        <is>
          <t>EDG-0041</t>
        </is>
      </c>
      <c r="B45" s="5" t="inlineStr">
        <is>
          <t>import</t>
        </is>
      </c>
      <c r="C45" s="5" t="inlineStr">
        <is>
          <t>MOD-015</t>
        </is>
      </c>
      <c r="D45" s="5" t="inlineStr">
        <is>
          <t>js/sanctuary/SanctuaryClickToMove.js</t>
        </is>
      </c>
      <c r="E45" s="5" t="inlineStr">
        <is>
          <t>MOD-027</t>
        </is>
      </c>
      <c r="F45" s="5" t="inlineStr">
        <is>
          <t>SanctuaryGround.js</t>
        </is>
      </c>
      <c r="G45" s="5" t="inlineStr">
        <is>
          <t>Live</t>
        </is>
      </c>
    </row>
    <row r="46">
      <c r="A46" s="5" t="inlineStr">
        <is>
          <t>EDG-0042</t>
        </is>
      </c>
      <c r="B46" s="5" t="inlineStr">
        <is>
          <t>import</t>
        </is>
      </c>
      <c r="C46" s="5" t="inlineStr">
        <is>
          <t>MOD-015</t>
        </is>
      </c>
      <c r="D46" s="5" t="inlineStr">
        <is>
          <t>js/sanctuary/SanctuaryClickToMove.js</t>
        </is>
      </c>
      <c r="E46" s="5" t="inlineStr">
        <is>
          <t>MOD-098</t>
        </is>
      </c>
      <c r="F46" s="5" t="inlineStr">
        <is>
          <t>SimulationController.js</t>
        </is>
      </c>
      <c r="G46" s="5" t="inlineStr">
        <is>
          <t>Live</t>
        </is>
      </c>
    </row>
    <row r="47">
      <c r="A47" s="5" t="inlineStr">
        <is>
          <t>EDG-0043</t>
        </is>
      </c>
      <c r="B47" s="5" t="inlineStr">
        <is>
          <t>global-write</t>
        </is>
      </c>
      <c r="C47" s="5" t="inlineStr">
        <is>
          <t>MOD-015</t>
        </is>
      </c>
      <c r="D47" s="5" t="inlineStr">
        <is>
          <t>js/sanctuary/SanctuaryClickToMove.js</t>
        </is>
      </c>
      <c r="E47" s="5" t="inlineStr">
        <is>
          <t>window.__sanctuaryPlayerYaw</t>
        </is>
      </c>
      <c r="F47" s="5" t="inlineStr"/>
      <c r="G47" s="5" t="inlineStr">
        <is>
          <t>Live</t>
        </is>
      </c>
    </row>
    <row r="48">
      <c r="A48" s="5" t="inlineStr">
        <is>
          <t>EDG-0044</t>
        </is>
      </c>
      <c r="B48" s="5" t="inlineStr">
        <is>
          <t>global-write</t>
        </is>
      </c>
      <c r="C48" s="5" t="inlineStr">
        <is>
          <t>MOD-015</t>
        </is>
      </c>
      <c r="D48" s="5" t="inlineStr">
        <is>
          <t>js/sanctuary/SanctuaryClickToMove.js</t>
        </is>
      </c>
      <c r="E48" s="5" t="inlineStr">
        <is>
          <t>window._v4CancelClickToMove</t>
        </is>
      </c>
      <c r="F48" s="5" t="inlineStr"/>
      <c r="G48" s="5" t="inlineStr">
        <is>
          <t>Live</t>
        </is>
      </c>
    </row>
    <row r="49">
      <c r="A49" s="5" t="inlineStr">
        <is>
          <t>EDG-0045</t>
        </is>
      </c>
      <c r="B49" s="5" t="inlineStr">
        <is>
          <t>global-write</t>
        </is>
      </c>
      <c r="C49" s="5" t="inlineStr">
        <is>
          <t>MOD-015</t>
        </is>
      </c>
      <c r="D49" s="5" t="inlineStr">
        <is>
          <t>js/sanctuary/SanctuaryClickToMove.js</t>
        </is>
      </c>
      <c r="E49" s="5" t="inlineStr">
        <is>
          <t>window._v4SmartWalkTo</t>
        </is>
      </c>
      <c r="F49" s="5" t="inlineStr"/>
      <c r="G49" s="5" t="inlineStr">
        <is>
          <t>Live</t>
        </is>
      </c>
    </row>
    <row r="50">
      <c r="A50" s="5" t="inlineStr">
        <is>
          <t>EDG-0046</t>
        </is>
      </c>
      <c r="B50" s="5" t="inlineStr">
        <is>
          <t>global-write</t>
        </is>
      </c>
      <c r="C50" s="5" t="inlineStr">
        <is>
          <t>MOD-015</t>
        </is>
      </c>
      <c r="D50" s="5" t="inlineStr">
        <is>
          <t>js/sanctuary/SanctuaryClickToMove.js</t>
        </is>
      </c>
      <c r="E50" s="5" t="inlineStr">
        <is>
          <t>window._v4WalkTo</t>
        </is>
      </c>
      <c r="F50" s="5" t="inlineStr"/>
      <c r="G50" s="5" t="inlineStr">
        <is>
          <t>Live</t>
        </is>
      </c>
    </row>
    <row r="51">
      <c r="A51" s="5" t="inlineStr">
        <is>
          <t>EDG-0047</t>
        </is>
      </c>
      <c r="B51" s="5" t="inlineStr">
        <is>
          <t>import</t>
        </is>
      </c>
      <c r="C51" s="5" t="inlineStr">
        <is>
          <t>MOD-016</t>
        </is>
      </c>
      <c r="D51" s="5" t="inlineStr">
        <is>
          <t>js/sanctuary/SanctuaryControls.js</t>
        </is>
      </c>
      <c r="E51" s="5" t="inlineStr">
        <is>
          <t>MOD-093</t>
        </is>
      </c>
      <c r="F51" s="5" t="inlineStr">
        <is>
          <t>InteractionBus.js</t>
        </is>
      </c>
      <c r="G51" s="5" t="inlineStr">
        <is>
          <t>Live</t>
        </is>
      </c>
    </row>
    <row r="52">
      <c r="A52" s="5" t="inlineStr">
        <is>
          <t>EDG-0048</t>
        </is>
      </c>
      <c r="B52" s="5" t="inlineStr">
        <is>
          <t>import</t>
        </is>
      </c>
      <c r="C52" s="5" t="inlineStr">
        <is>
          <t>MOD-016</t>
        </is>
      </c>
      <c r="D52" s="5" t="inlineStr">
        <is>
          <t>js/sanctuary/SanctuaryControls.js</t>
        </is>
      </c>
      <c r="E52" s="5" t="inlineStr">
        <is>
          <t>MOD-098</t>
        </is>
      </c>
      <c r="F52" s="5" t="inlineStr">
        <is>
          <t>SimulationController.js</t>
        </is>
      </c>
      <c r="G52" s="5" t="inlineStr">
        <is>
          <t>Live</t>
        </is>
      </c>
    </row>
    <row r="53">
      <c r="A53" s="5" t="inlineStr">
        <is>
          <t>EDG-0049</t>
        </is>
      </c>
      <c r="B53" s="5" t="inlineStr">
        <is>
          <t>import</t>
        </is>
      </c>
      <c r="C53" s="5" t="inlineStr">
        <is>
          <t>MOD-016</t>
        </is>
      </c>
      <c r="D53" s="5" t="inlineStr">
        <is>
          <t>js/sanctuary/SanctuaryControls.js</t>
        </is>
      </c>
      <c r="E53" s="5" t="inlineStr">
        <is>
          <t>MOD-100</t>
        </is>
      </c>
      <c r="F53" s="5" t="inlineStr">
        <is>
          <t>anuEvents.js</t>
        </is>
      </c>
      <c r="G53" s="5" t="inlineStr">
        <is>
          <t>Live</t>
        </is>
      </c>
    </row>
    <row r="54">
      <c r="A54" s="5" t="inlineStr">
        <is>
          <t>EDG-0050</t>
        </is>
      </c>
      <c r="B54" s="5" t="inlineStr">
        <is>
          <t>global-write</t>
        </is>
      </c>
      <c r="C54" s="5" t="inlineStr">
        <is>
          <t>MOD-016</t>
        </is>
      </c>
      <c r="D54" s="5" t="inlineStr">
        <is>
          <t>js/sanctuary/SanctuaryControls.js</t>
        </is>
      </c>
      <c r="E54" s="5" t="inlineStr">
        <is>
          <t>window.__sanctuaryMoldTool</t>
        </is>
      </c>
      <c r="F54" s="5" t="inlineStr"/>
      <c r="G54" s="5" t="inlineStr">
        <is>
          <t>Live</t>
        </is>
      </c>
    </row>
    <row r="55">
      <c r="A55" s="5" t="inlineStr">
        <is>
          <t>EDG-0051</t>
        </is>
      </c>
      <c r="B55" s="5" t="inlineStr">
        <is>
          <t>global-write</t>
        </is>
      </c>
      <c r="C55" s="5" t="inlineStr">
        <is>
          <t>MOD-016</t>
        </is>
      </c>
      <c r="D55" s="5" t="inlineStr">
        <is>
          <t>js/sanctuary/SanctuaryControls.js</t>
        </is>
      </c>
      <c r="E55" s="5" t="inlineStr">
        <is>
          <t>window._v4ToggleTopDown</t>
        </is>
      </c>
      <c r="F55" s="5" t="inlineStr"/>
      <c r="G55" s="5" t="inlineStr">
        <is>
          <t>Live</t>
        </is>
      </c>
    </row>
    <row r="56">
      <c r="A56" s="5" t="inlineStr">
        <is>
          <t>EDG-0052</t>
        </is>
      </c>
      <c r="B56" s="5" t="inlineStr">
        <is>
          <t>anu-event-dispatch</t>
        </is>
      </c>
      <c r="C56" s="5" t="inlineStr">
        <is>
          <t>MOD-016</t>
        </is>
      </c>
      <c r="D56" s="5" t="inlineStr">
        <is>
          <t>js/sanctuary/SanctuaryControls.js</t>
        </is>
      </c>
      <c r="E56" s="5" t="inlineStr">
        <is>
          <t>ANU_EVENTS.SANCTUARY_WORLD_STATE</t>
        </is>
      </c>
      <c r="F56" s="5" t="inlineStr"/>
      <c r="G56" s="5" t="inlineStr">
        <is>
          <t>Live</t>
        </is>
      </c>
    </row>
    <row r="57">
      <c r="A57" s="5" t="inlineStr">
        <is>
          <t>EDG-0053</t>
        </is>
      </c>
      <c r="B57" s="5" t="inlineStr">
        <is>
          <t>import</t>
        </is>
      </c>
      <c r="C57" s="5" t="inlineStr">
        <is>
          <t>MOD-018</t>
        </is>
      </c>
      <c r="D57" s="5" t="inlineStr">
        <is>
          <t>js/sanctuary/SanctuaryDayNight.js</t>
        </is>
      </c>
      <c r="E57" s="5" t="inlineStr">
        <is>
          <t>MOD-093</t>
        </is>
      </c>
      <c r="F57" s="5" t="inlineStr">
        <is>
          <t>InteractionBus.js</t>
        </is>
      </c>
      <c r="G57" s="5" t="inlineStr">
        <is>
          <t>Live</t>
        </is>
      </c>
    </row>
    <row r="58">
      <c r="A58" s="5" t="inlineStr">
        <is>
          <t>EDG-0054</t>
        </is>
      </c>
      <c r="B58" s="5" t="inlineStr">
        <is>
          <t>import</t>
        </is>
      </c>
      <c r="C58" s="5" t="inlineStr">
        <is>
          <t>MOD-018</t>
        </is>
      </c>
      <c r="D58" s="5" t="inlineStr">
        <is>
          <t>js/sanctuary/SanctuaryDayNight.js</t>
        </is>
      </c>
      <c r="E58" s="5" t="inlineStr">
        <is>
          <t>MOD-098</t>
        </is>
      </c>
      <c r="F58" s="5" t="inlineStr">
        <is>
          <t>SimulationController.js</t>
        </is>
      </c>
      <c r="G58" s="5" t="inlineStr">
        <is>
          <t>Live</t>
        </is>
      </c>
    </row>
    <row r="59">
      <c r="A59" s="5" t="inlineStr">
        <is>
          <t>EDG-0055</t>
        </is>
      </c>
      <c r="B59" s="5" t="inlineStr">
        <is>
          <t>import</t>
        </is>
      </c>
      <c r="C59" s="5" t="inlineStr">
        <is>
          <t>MOD-018</t>
        </is>
      </c>
      <c r="D59" s="5" t="inlineStr">
        <is>
          <t>js/sanctuary/SanctuaryDayNight.js</t>
        </is>
      </c>
      <c r="E59" s="5" t="inlineStr">
        <is>
          <t>MOD-100</t>
        </is>
      </c>
      <c r="F59" s="5" t="inlineStr">
        <is>
          <t>anuEvents.js</t>
        </is>
      </c>
      <c r="G59" s="5" t="inlineStr">
        <is>
          <t>Live</t>
        </is>
      </c>
    </row>
    <row r="60">
      <c r="A60" s="5" t="inlineStr">
        <is>
          <t>EDG-0056</t>
        </is>
      </c>
      <c r="B60" s="5" t="inlineStr">
        <is>
          <t>anu-event-dispatch</t>
        </is>
      </c>
      <c r="C60" s="5" t="inlineStr">
        <is>
          <t>MOD-018</t>
        </is>
      </c>
      <c r="D60" s="5" t="inlineStr">
        <is>
          <t>js/sanctuary/SanctuaryDayNight.js</t>
        </is>
      </c>
      <c r="E60" s="5" t="inlineStr">
        <is>
          <t>ANU_EVENTS.SEASON_CHANGE</t>
        </is>
      </c>
      <c r="F60" s="5" t="inlineStr"/>
      <c r="G60" s="5" t="inlineStr">
        <is>
          <t>Live</t>
        </is>
      </c>
    </row>
    <row r="61">
      <c r="A61" s="5" t="inlineStr">
        <is>
          <t>EDG-0057</t>
        </is>
      </c>
      <c r="B61" s="5" t="inlineStr">
        <is>
          <t>import</t>
        </is>
      </c>
      <c r="C61" s="5" t="inlineStr">
        <is>
          <t>MOD-019</t>
        </is>
      </c>
      <c r="D61" s="5" t="inlineStr">
        <is>
          <t>js/sanctuary/SanctuaryDock.js</t>
        </is>
      </c>
      <c r="E61" s="5" t="inlineStr">
        <is>
          <t>MOD-027</t>
        </is>
      </c>
      <c r="F61" s="5" t="inlineStr">
        <is>
          <t>SanctuaryGround.js</t>
        </is>
      </c>
      <c r="G61" s="5" t="inlineStr">
        <is>
          <t>Live</t>
        </is>
      </c>
    </row>
    <row r="62">
      <c r="A62" s="5" t="inlineStr">
        <is>
          <t>EDG-0058</t>
        </is>
      </c>
      <c r="B62" s="5" t="inlineStr">
        <is>
          <t>import</t>
        </is>
      </c>
      <c r="C62" s="5" t="inlineStr">
        <is>
          <t>MOD-019</t>
        </is>
      </c>
      <c r="D62" s="5" t="inlineStr">
        <is>
          <t>js/sanctuary/SanctuaryDock.js</t>
        </is>
      </c>
      <c r="E62" s="5" t="inlineStr">
        <is>
          <t>MOD-098</t>
        </is>
      </c>
      <c r="F62" s="5" t="inlineStr">
        <is>
          <t>SimulationController.js</t>
        </is>
      </c>
      <c r="G62" s="5" t="inlineStr">
        <is>
          <t>Live</t>
        </is>
      </c>
    </row>
    <row r="63">
      <c r="A63" s="5" t="inlineStr">
        <is>
          <t>EDG-0059</t>
        </is>
      </c>
      <c r="B63" s="5" t="inlineStr">
        <is>
          <t>global-write</t>
        </is>
      </c>
      <c r="C63" s="5" t="inlineStr">
        <is>
          <t>MOD-019</t>
        </is>
      </c>
      <c r="D63" s="5" t="inlineStr">
        <is>
          <t>js/sanctuary/SanctuaryDock.js</t>
        </is>
      </c>
      <c r="E63" s="5" t="inlineStr">
        <is>
          <t>window.__regenerateDock</t>
        </is>
      </c>
      <c r="F63" s="5" t="inlineStr"/>
      <c r="G63" s="5" t="inlineStr">
        <is>
          <t>Live</t>
        </is>
      </c>
    </row>
    <row r="64">
      <c r="A64" s="5" t="inlineStr">
        <is>
          <t>EDG-0060</t>
        </is>
      </c>
      <c r="B64" s="5" t="inlineStr">
        <is>
          <t>global-write</t>
        </is>
      </c>
      <c r="C64" s="5" t="inlineStr">
        <is>
          <t>MOD-019</t>
        </is>
      </c>
      <c r="D64" s="5" t="inlineStr">
        <is>
          <t>js/sanctuary/SanctuaryDock.js</t>
        </is>
      </c>
      <c r="E64" s="5" t="inlineStr">
        <is>
          <t>window.__sanctuaryDockExtents</t>
        </is>
      </c>
      <c r="F64" s="5" t="inlineStr"/>
      <c r="G64" s="5" t="inlineStr">
        <is>
          <t>Live</t>
        </is>
      </c>
    </row>
    <row r="65">
      <c r="A65" s="5" t="inlineStr">
        <is>
          <t>EDG-0061</t>
        </is>
      </c>
      <c r="B65" s="5" t="inlineStr">
        <is>
          <t>global-write</t>
        </is>
      </c>
      <c r="C65" s="5" t="inlineStr">
        <is>
          <t>MOD-019</t>
        </is>
      </c>
      <c r="D65" s="5" t="inlineStr">
        <is>
          <t>js/sanctuary/SanctuaryDock.js</t>
        </is>
      </c>
      <c r="E65" s="5" t="inlineStr">
        <is>
          <t>window.__sanctuaryDockSurface</t>
        </is>
      </c>
      <c r="F65" s="5" t="inlineStr"/>
      <c r="G65" s="5" t="inlineStr">
        <is>
          <t>Live</t>
        </is>
      </c>
    </row>
    <row r="66">
      <c r="A66" s="5" t="inlineStr">
        <is>
          <t>EDG-0062</t>
        </is>
      </c>
      <c r="B66" s="5" t="inlineStr">
        <is>
          <t>global-write</t>
        </is>
      </c>
      <c r="C66" s="5" t="inlineStr">
        <is>
          <t>MOD-019</t>
        </is>
      </c>
      <c r="D66" s="5" t="inlineStr">
        <is>
          <t>js/sanctuary/SanctuaryDock.js</t>
        </is>
      </c>
      <c r="E66" s="5" t="inlineStr">
        <is>
          <t>window.__sanctuaryFishingSpot</t>
        </is>
      </c>
      <c r="F66" s="5" t="inlineStr"/>
      <c r="G66" s="5" t="inlineStr">
        <is>
          <t>Live</t>
        </is>
      </c>
    </row>
    <row r="67">
      <c r="A67" s="5" t="inlineStr">
        <is>
          <t>EDG-0063</t>
        </is>
      </c>
      <c r="B67" s="5" t="inlineStr">
        <is>
          <t>import</t>
        </is>
      </c>
      <c r="C67" s="5" t="inlineStr">
        <is>
          <t>MOD-020</t>
        </is>
      </c>
      <c r="D67" s="5" t="inlineStr">
        <is>
          <t>js/sanctuary/SanctuaryDragonfly.js</t>
        </is>
      </c>
      <c r="E67" s="5" t="inlineStr">
        <is>
          <t>MOD-027</t>
        </is>
      </c>
      <c r="F67" s="5" t="inlineStr">
        <is>
          <t>SanctuaryGround.js</t>
        </is>
      </c>
      <c r="G67" s="5" t="inlineStr">
        <is>
          <t>Live</t>
        </is>
      </c>
    </row>
    <row r="68">
      <c r="A68" s="5" t="inlineStr">
        <is>
          <t>EDG-0064</t>
        </is>
      </c>
      <c r="B68" s="5" t="inlineStr">
        <is>
          <t>import</t>
        </is>
      </c>
      <c r="C68" s="5" t="inlineStr">
        <is>
          <t>MOD-020</t>
        </is>
      </c>
      <c r="D68" s="5" t="inlineStr">
        <is>
          <t>js/sanctuary/SanctuaryDragonfly.js</t>
        </is>
      </c>
      <c r="E68" s="5" t="inlineStr">
        <is>
          <t>MOD-092</t>
        </is>
      </c>
      <c r="F68" s="5" t="inlineStr">
        <is>
          <t>FrameBudget.js</t>
        </is>
      </c>
      <c r="G68" s="5" t="inlineStr">
        <is>
          <t>Live</t>
        </is>
      </c>
    </row>
    <row r="69">
      <c r="A69" s="5" t="inlineStr">
        <is>
          <t>EDG-0065</t>
        </is>
      </c>
      <c r="B69" s="5" t="inlineStr">
        <is>
          <t>import</t>
        </is>
      </c>
      <c r="C69" s="5" t="inlineStr">
        <is>
          <t>MOD-020</t>
        </is>
      </c>
      <c r="D69" s="5" t="inlineStr">
        <is>
          <t>js/sanctuary/SanctuaryDragonfly.js</t>
        </is>
      </c>
      <c r="E69" s="5" t="inlineStr">
        <is>
          <t>MOD-098</t>
        </is>
      </c>
      <c r="F69" s="5" t="inlineStr">
        <is>
          <t>SimulationController.js</t>
        </is>
      </c>
      <c r="G69" s="5" t="inlineStr">
        <is>
          <t>Live</t>
        </is>
      </c>
    </row>
    <row r="70">
      <c r="A70" s="5" t="inlineStr">
        <is>
          <t>EDG-0066</t>
        </is>
      </c>
      <c r="B70" s="5" t="inlineStr">
        <is>
          <t>global-write</t>
        </is>
      </c>
      <c r="C70" s="5" t="inlineStr">
        <is>
          <t>MOD-020</t>
        </is>
      </c>
      <c r="D70" s="5" t="inlineStr">
        <is>
          <t>js/sanctuary/SanctuaryDragonfly.js</t>
        </is>
      </c>
      <c r="E70" s="5" t="inlineStr">
        <is>
          <t>window.__sanctuaryDragonflies</t>
        </is>
      </c>
      <c r="F70" s="5" t="inlineStr"/>
      <c r="G70" s="5" t="inlineStr">
        <is>
          <t>Live</t>
        </is>
      </c>
    </row>
    <row r="71">
      <c r="A71" s="5" t="inlineStr">
        <is>
          <t>EDG-0067</t>
        </is>
      </c>
      <c r="B71" s="5" t="inlineStr">
        <is>
          <t>import</t>
        </is>
      </c>
      <c r="C71" s="5" t="inlineStr">
        <is>
          <t>MOD-021</t>
        </is>
      </c>
      <c r="D71" s="5" t="inlineStr">
        <is>
          <t>js/sanctuary/SanctuaryFish.js</t>
        </is>
      </c>
      <c r="E71" s="5" t="inlineStr">
        <is>
          <t>MOD-027</t>
        </is>
      </c>
      <c r="F71" s="5" t="inlineStr">
        <is>
          <t>SanctuaryGround.js</t>
        </is>
      </c>
      <c r="G71" s="5" t="inlineStr">
        <is>
          <t>Live</t>
        </is>
      </c>
    </row>
    <row r="72">
      <c r="A72" s="5" t="inlineStr">
        <is>
          <t>EDG-0068</t>
        </is>
      </c>
      <c r="B72" s="5" t="inlineStr">
        <is>
          <t>import</t>
        </is>
      </c>
      <c r="C72" s="5" t="inlineStr">
        <is>
          <t>MOD-021</t>
        </is>
      </c>
      <c r="D72" s="5" t="inlineStr">
        <is>
          <t>js/sanctuary/SanctuaryFish.js</t>
        </is>
      </c>
      <c r="E72" s="5" t="inlineStr">
        <is>
          <t>MOD-092</t>
        </is>
      </c>
      <c r="F72" s="5" t="inlineStr">
        <is>
          <t>FrameBudget.js</t>
        </is>
      </c>
      <c r="G72" s="5" t="inlineStr">
        <is>
          <t>Live</t>
        </is>
      </c>
    </row>
    <row r="73">
      <c r="A73" s="5" t="inlineStr">
        <is>
          <t>EDG-0069</t>
        </is>
      </c>
      <c r="B73" s="5" t="inlineStr">
        <is>
          <t>import</t>
        </is>
      </c>
      <c r="C73" s="5" t="inlineStr">
        <is>
          <t>MOD-021</t>
        </is>
      </c>
      <c r="D73" s="5" t="inlineStr">
        <is>
          <t>js/sanctuary/SanctuaryFish.js</t>
        </is>
      </c>
      <c r="E73" s="5" t="inlineStr">
        <is>
          <t>MOD-098</t>
        </is>
      </c>
      <c r="F73" s="5" t="inlineStr">
        <is>
          <t>SimulationController.js</t>
        </is>
      </c>
      <c r="G73" s="5" t="inlineStr">
        <is>
          <t>Live</t>
        </is>
      </c>
    </row>
    <row r="74">
      <c r="A74" s="5" t="inlineStr">
        <is>
          <t>EDG-0070</t>
        </is>
      </c>
      <c r="B74" s="5" t="inlineStr">
        <is>
          <t>global-write</t>
        </is>
      </c>
      <c r="C74" s="5" t="inlineStr">
        <is>
          <t>MOD-021</t>
        </is>
      </c>
      <c r="D74" s="5" t="inlineStr">
        <is>
          <t>js/sanctuary/SanctuaryFish.js</t>
        </is>
      </c>
      <c r="E74" s="5" t="inlineStr">
        <is>
          <t>window.__sanctuaryFishCount</t>
        </is>
      </c>
      <c r="F74" s="5" t="inlineStr"/>
      <c r="G74" s="5" t="inlineStr">
        <is>
          <t>Live</t>
        </is>
      </c>
    </row>
    <row r="75">
      <c r="A75" s="5" t="inlineStr">
        <is>
          <t>EDG-0071</t>
        </is>
      </c>
      <c r="B75" s="5" t="inlineStr">
        <is>
          <t>global-write</t>
        </is>
      </c>
      <c r="C75" s="5" t="inlineStr">
        <is>
          <t>MOD-021</t>
        </is>
      </c>
      <c r="D75" s="5" t="inlineStr">
        <is>
          <t>js/sanctuary/SanctuaryFish.js</t>
        </is>
      </c>
      <c r="E75" s="5" t="inlineStr">
        <is>
          <t>window.__sanctuaryFishSchool</t>
        </is>
      </c>
      <c r="F75" s="5" t="inlineStr"/>
      <c r="G75" s="5" t="inlineStr">
        <is>
          <t>Live</t>
        </is>
      </c>
    </row>
    <row r="76">
      <c r="A76" s="5" t="inlineStr">
        <is>
          <t>EDG-0072</t>
        </is>
      </c>
      <c r="B76" s="5" t="inlineStr">
        <is>
          <t>global-write</t>
        </is>
      </c>
      <c r="C76" s="5" t="inlineStr">
        <is>
          <t>MOD-021</t>
        </is>
      </c>
      <c r="D76" s="5" t="inlineStr">
        <is>
          <t>js/sanctuary/SanctuaryFish.js</t>
        </is>
      </c>
      <c r="E76" s="5" t="inlineStr">
        <is>
          <t>window.__sanctuaryFishTemplate</t>
        </is>
      </c>
      <c r="F76" s="5" t="inlineStr"/>
      <c r="G76" s="5" t="inlineStr">
        <is>
          <t>Live</t>
        </is>
      </c>
    </row>
    <row r="77">
      <c r="A77" s="5" t="inlineStr">
        <is>
          <t>EDG-0073</t>
        </is>
      </c>
      <c r="B77" s="5" t="inlineStr">
        <is>
          <t>global-write</t>
        </is>
      </c>
      <c r="C77" s="5" t="inlineStr">
        <is>
          <t>MOD-021</t>
        </is>
      </c>
      <c r="D77" s="5" t="inlineStr">
        <is>
          <t>js/sanctuary/SanctuaryFish.js</t>
        </is>
      </c>
      <c r="E77" s="5" t="inlineStr">
        <is>
          <t>window.__sanctuaryFrogOnLily</t>
        </is>
      </c>
      <c r="F77" s="5" t="inlineStr"/>
      <c r="G77" s="5" t="inlineStr">
        <is>
          <t>Live</t>
        </is>
      </c>
    </row>
    <row r="78">
      <c r="A78" s="5" t="inlineStr">
        <is>
          <t>EDG-0074</t>
        </is>
      </c>
      <c r="B78" s="5" t="inlineStr">
        <is>
          <t>global-write</t>
        </is>
      </c>
      <c r="C78" s="5" t="inlineStr">
        <is>
          <t>MOD-021</t>
        </is>
      </c>
      <c r="D78" s="5" t="inlineStr">
        <is>
          <t>js/sanctuary/SanctuaryFish.js</t>
        </is>
      </c>
      <c r="E78" s="5" t="inlineStr">
        <is>
          <t>window.__sanctuarySpawnBabyFish</t>
        </is>
      </c>
      <c r="F78" s="5" t="inlineStr"/>
      <c r="G78" s="5" t="inlineStr">
        <is>
          <t>Live</t>
        </is>
      </c>
    </row>
    <row r="79">
      <c r="A79" s="5" t="inlineStr">
        <is>
          <t>EDG-0075</t>
        </is>
      </c>
      <c r="B79" s="5" t="inlineStr">
        <is>
          <t>import</t>
        </is>
      </c>
      <c r="C79" s="5" t="inlineStr">
        <is>
          <t>MOD-022</t>
        </is>
      </c>
      <c r="D79" s="5" t="inlineStr">
        <is>
          <t>js/sanctuary/SanctuaryFishJumps.js</t>
        </is>
      </c>
      <c r="E79" s="5" t="inlineStr">
        <is>
          <t>MOD-027</t>
        </is>
      </c>
      <c r="F79" s="5" t="inlineStr">
        <is>
          <t>SanctuaryGround.js</t>
        </is>
      </c>
      <c r="G79" s="5" t="inlineStr">
        <is>
          <t>Live</t>
        </is>
      </c>
    </row>
    <row r="80">
      <c r="A80" s="5" t="inlineStr">
        <is>
          <t>EDG-0076</t>
        </is>
      </c>
      <c r="B80" s="5" t="inlineStr">
        <is>
          <t>import</t>
        </is>
      </c>
      <c r="C80" s="5" t="inlineStr">
        <is>
          <t>MOD-022</t>
        </is>
      </c>
      <c r="D80" s="5" t="inlineStr">
        <is>
          <t>js/sanctuary/SanctuaryFishJumps.js</t>
        </is>
      </c>
      <c r="E80" s="5" t="inlineStr">
        <is>
          <t>MOD-098</t>
        </is>
      </c>
      <c r="F80" s="5" t="inlineStr">
        <is>
          <t>SimulationController.js</t>
        </is>
      </c>
      <c r="G80" s="5" t="inlineStr">
        <is>
          <t>Live</t>
        </is>
      </c>
    </row>
    <row r="81">
      <c r="A81" s="5" t="inlineStr">
        <is>
          <t>EDG-0077</t>
        </is>
      </c>
      <c r="B81" s="5" t="inlineStr">
        <is>
          <t>import</t>
        </is>
      </c>
      <c r="C81" s="5" t="inlineStr">
        <is>
          <t>MOD-023</t>
        </is>
      </c>
      <c r="D81" s="5" t="inlineStr">
        <is>
          <t>js/sanctuary/SanctuaryFishing.js</t>
        </is>
      </c>
      <c r="E81" s="5" t="inlineStr">
        <is>
          <t>MOD-027</t>
        </is>
      </c>
      <c r="F81" s="5" t="inlineStr">
        <is>
          <t>SanctuaryGround.js</t>
        </is>
      </c>
      <c r="G81" s="5" t="inlineStr">
        <is>
          <t>Live</t>
        </is>
      </c>
    </row>
    <row r="82">
      <c r="A82" s="5" t="inlineStr">
        <is>
          <t>EDG-0078</t>
        </is>
      </c>
      <c r="B82" s="5" t="inlineStr">
        <is>
          <t>import</t>
        </is>
      </c>
      <c r="C82" s="5" t="inlineStr">
        <is>
          <t>MOD-023</t>
        </is>
      </c>
      <c r="D82" s="5" t="inlineStr">
        <is>
          <t>js/sanctuary/SanctuaryFishing.js</t>
        </is>
      </c>
      <c r="E82" s="5" t="inlineStr">
        <is>
          <t>MOD-098</t>
        </is>
      </c>
      <c r="F82" s="5" t="inlineStr">
        <is>
          <t>SimulationController.js</t>
        </is>
      </c>
      <c r="G82" s="5" t="inlineStr">
        <is>
          <t>Live</t>
        </is>
      </c>
    </row>
    <row r="83">
      <c r="A83" s="5" t="inlineStr">
        <is>
          <t>EDG-0079</t>
        </is>
      </c>
      <c r="B83" s="5" t="inlineStr">
        <is>
          <t>import</t>
        </is>
      </c>
      <c r="C83" s="5" t="inlineStr">
        <is>
          <t>MOD-023</t>
        </is>
      </c>
      <c r="D83" s="5" t="inlineStr">
        <is>
          <t>js/sanctuary/SanctuaryFishing.js</t>
        </is>
      </c>
      <c r="E83" s="5" t="inlineStr">
        <is>
          <t>MOD-099</t>
        </is>
      </c>
      <c r="F83" s="5" t="inlineStr">
        <is>
          <t>TravelFloorCircleMaterials.js</t>
        </is>
      </c>
      <c r="G83" s="5" t="inlineStr">
        <is>
          <t>Live</t>
        </is>
      </c>
    </row>
    <row r="84">
      <c r="A84" s="5" t="inlineStr">
        <is>
          <t>EDG-0080</t>
        </is>
      </c>
      <c r="B84" s="5" t="inlineStr">
        <is>
          <t>import</t>
        </is>
      </c>
      <c r="C84" s="5" t="inlineStr">
        <is>
          <t>MOD-023</t>
        </is>
      </c>
      <c r="D84" s="5" t="inlineStr">
        <is>
          <t>js/sanctuary/SanctuaryFishing.js</t>
        </is>
      </c>
      <c r="E84" s="5" t="inlineStr">
        <is>
          <t>MOD-103</t>
        </is>
      </c>
      <c r="F84" s="5" t="inlineStr">
        <is>
          <t>constants.js</t>
        </is>
      </c>
      <c r="G84" s="5" t="inlineStr">
        <is>
          <t>Live</t>
        </is>
      </c>
    </row>
    <row r="85">
      <c r="A85" s="5" t="inlineStr">
        <is>
          <t>EDG-0081</t>
        </is>
      </c>
      <c r="B85" s="5" t="inlineStr">
        <is>
          <t>global-write</t>
        </is>
      </c>
      <c r="C85" s="5" t="inlineStr">
        <is>
          <t>MOD-023</t>
        </is>
      </c>
      <c r="D85" s="5" t="inlineStr">
        <is>
          <t>js/sanctuary/SanctuaryFishing.js</t>
        </is>
      </c>
      <c r="E85" s="5" t="inlineStr">
        <is>
          <t>window.__interestedFish</t>
        </is>
      </c>
      <c r="F85" s="5" t="inlineStr"/>
      <c r="G85" s="5" t="inlineStr">
        <is>
          <t>Live</t>
        </is>
      </c>
    </row>
    <row r="86">
      <c r="A86" s="5" t="inlineStr">
        <is>
          <t>EDG-0082</t>
        </is>
      </c>
      <c r="B86" s="5" t="inlineStr">
        <is>
          <t>global-write</t>
        </is>
      </c>
      <c r="C86" s="5" t="inlineStr">
        <is>
          <t>MOD-023</t>
        </is>
      </c>
      <c r="D86" s="5" t="inlineStr">
        <is>
          <t>js/sanctuary/SanctuaryFishing.js</t>
        </is>
      </c>
      <c r="E86" s="5" t="inlineStr">
        <is>
          <t>window.__sanctuaryBobberPos</t>
        </is>
      </c>
      <c r="F86" s="5" t="inlineStr"/>
      <c r="G86" s="5" t="inlineStr">
        <is>
          <t>Live</t>
        </is>
      </c>
    </row>
    <row r="87">
      <c r="A87" s="5" t="inlineStr">
        <is>
          <t>EDG-0083</t>
        </is>
      </c>
      <c r="B87" s="5" t="inlineStr">
        <is>
          <t>global-write</t>
        </is>
      </c>
      <c r="C87" s="5" t="inlineStr">
        <is>
          <t>MOD-023</t>
        </is>
      </c>
      <c r="D87" s="5" t="inlineStr">
        <is>
          <t>js/sanctuary/SanctuaryFishing.js</t>
        </is>
      </c>
      <c r="E87" s="5" t="inlineStr">
        <is>
          <t>window.__sanctuaryFishCount</t>
        </is>
      </c>
      <c r="F87" s="5" t="inlineStr"/>
      <c r="G87" s="5" t="inlineStr">
        <is>
          <t>Live</t>
        </is>
      </c>
    </row>
    <row r="88">
      <c r="A88" s="5" t="inlineStr">
        <is>
          <t>EDG-0084</t>
        </is>
      </c>
      <c r="B88" s="5" t="inlineStr">
        <is>
          <t>global-write</t>
        </is>
      </c>
      <c r="C88" s="5" t="inlineStr">
        <is>
          <t>MOD-023</t>
        </is>
      </c>
      <c r="D88" s="5" t="inlineStr">
        <is>
          <t>js/sanctuary/SanctuaryFishing.js</t>
        </is>
      </c>
      <c r="E88" s="5" t="inlineStr">
        <is>
          <t>window.__sanctuaryFishingActive</t>
        </is>
      </c>
      <c r="F88" s="5" t="inlineStr"/>
      <c r="G88" s="5" t="inlineStr">
        <is>
          <t>Live</t>
        </is>
      </c>
    </row>
    <row r="89">
      <c r="A89" s="5" t="inlineStr">
        <is>
          <t>EDG-0085</t>
        </is>
      </c>
      <c r="B89" s="5" t="inlineStr">
        <is>
          <t>global-write</t>
        </is>
      </c>
      <c r="C89" s="5" t="inlineStr">
        <is>
          <t>MOD-023</t>
        </is>
      </c>
      <c r="D89" s="5" t="inlineStr">
        <is>
          <t>js/sanctuary/SanctuaryFishing.js</t>
        </is>
      </c>
      <c r="E89" s="5" t="inlineStr">
        <is>
          <t>window.__sanctuaryFishingSpawnRipple</t>
        </is>
      </c>
      <c r="F89" s="5" t="inlineStr"/>
      <c r="G89" s="5" t="inlineStr">
        <is>
          <t>Live</t>
        </is>
      </c>
    </row>
    <row r="90">
      <c r="A90" s="5" t="inlineStr">
        <is>
          <t>EDG-0086</t>
        </is>
      </c>
      <c r="B90" s="5" t="inlineStr">
        <is>
          <t>global-write</t>
        </is>
      </c>
      <c r="C90" s="5" t="inlineStr">
        <is>
          <t>MOD-023</t>
        </is>
      </c>
      <c r="D90" s="5" t="inlineStr">
        <is>
          <t>js/sanctuary/SanctuaryFishing.js</t>
        </is>
      </c>
      <c r="E90" s="5" t="inlineStr">
        <is>
          <t>window.__sanctuaryHasFishCaught</t>
        </is>
      </c>
      <c r="F90" s="5" t="inlineStr"/>
      <c r="G90" s="5" t="inlineStr">
        <is>
          <t>Live</t>
        </is>
      </c>
    </row>
    <row r="91">
      <c r="A91" s="5" t="inlineStr">
        <is>
          <t>EDG-0087</t>
        </is>
      </c>
      <c r="B91" s="5" t="inlineStr">
        <is>
          <t>global-write</t>
        </is>
      </c>
      <c r="C91" s="5" t="inlineStr">
        <is>
          <t>MOD-023</t>
        </is>
      </c>
      <c r="D91" s="5" t="inlineStr">
        <is>
          <t>js/sanctuary/SanctuaryFishing.js</t>
        </is>
      </c>
      <c r="E91" s="5" t="inlineStr">
        <is>
          <t>window.__sanctuaryPlayerYaw</t>
        </is>
      </c>
      <c r="F91" s="5" t="inlineStr"/>
      <c r="G91" s="5" t="inlineStr">
        <is>
          <t>Live</t>
        </is>
      </c>
    </row>
    <row r="92">
      <c r="A92" s="5" t="inlineStr">
        <is>
          <t>EDG-0088</t>
        </is>
      </c>
      <c r="B92" s="5" t="inlineStr">
        <is>
          <t>global-write</t>
        </is>
      </c>
      <c r="C92" s="5" t="inlineStr">
        <is>
          <t>MOD-023</t>
        </is>
      </c>
      <c r="D92" s="5" t="inlineStr">
        <is>
          <t>js/sanctuary/SanctuaryFishing.js</t>
        </is>
      </c>
      <c r="E92" s="5" t="inlineStr">
        <is>
          <t>window._v2InputSuppressed</t>
        </is>
      </c>
      <c r="F92" s="5" t="inlineStr"/>
      <c r="G92" s="5" t="inlineStr">
        <is>
          <t>Live</t>
        </is>
      </c>
    </row>
    <row r="93">
      <c r="A93" s="5" t="inlineStr">
        <is>
          <t>EDG-0089</t>
        </is>
      </c>
      <c r="B93" s="5" t="inlineStr">
        <is>
          <t>global-write</t>
        </is>
      </c>
      <c r="C93" s="5" t="inlineStr">
        <is>
          <t>MOD-023</t>
        </is>
      </c>
      <c r="D93" s="5" t="inlineStr">
        <is>
          <t>js/sanctuary/SanctuaryFishing.js</t>
        </is>
      </c>
      <c r="E93" s="5" t="inlineStr">
        <is>
          <t>window._v4InputSuppressed</t>
        </is>
      </c>
      <c r="F93" s="5" t="inlineStr"/>
      <c r="G93" s="5" t="inlineStr">
        <is>
          <t>Live</t>
        </is>
      </c>
    </row>
    <row r="94">
      <c r="A94" s="5" t="inlineStr">
        <is>
          <t>EDG-0090</t>
        </is>
      </c>
      <c r="B94" s="5" t="inlineStr">
        <is>
          <t>global-write</t>
        </is>
      </c>
      <c r="C94" s="5" t="inlineStr">
        <is>
          <t>MOD-023</t>
        </is>
      </c>
      <c r="D94" s="5" t="inlineStr">
        <is>
          <t>js/sanctuary/SanctuaryFishing.js</t>
        </is>
      </c>
      <c r="E94" s="5" t="inlineStr">
        <is>
          <t>window._v4StartFishing</t>
        </is>
      </c>
      <c r="F94" s="5" t="inlineStr"/>
      <c r="G94" s="5" t="inlineStr">
        <is>
          <t>Live</t>
        </is>
      </c>
    </row>
    <row r="95">
      <c r="A95" s="5" t="inlineStr">
        <is>
          <t>EDG-0091</t>
        </is>
      </c>
      <c r="B95" s="5" t="inlineStr">
        <is>
          <t>global-write</t>
        </is>
      </c>
      <c r="C95" s="5" t="inlineStr">
        <is>
          <t>MOD-023</t>
        </is>
      </c>
      <c r="D95" s="5" t="inlineStr">
        <is>
          <t>js/sanctuary/SanctuaryFishing.js</t>
        </is>
      </c>
      <c r="E95" s="5" t="inlineStr">
        <is>
          <t>window.sanctuaryFishingFocus</t>
        </is>
      </c>
      <c r="F95" s="5" t="inlineStr"/>
      <c r="G95" s="5" t="inlineStr">
        <is>
          <t>Live</t>
        </is>
      </c>
    </row>
    <row r="96">
      <c r="A96" s="5" t="inlineStr">
        <is>
          <t>EDG-0092</t>
        </is>
      </c>
      <c r="B96" s="5" t="inlineStr">
        <is>
          <t>import</t>
        </is>
      </c>
      <c r="C96" s="5" t="inlineStr">
        <is>
          <t>MOD-024</t>
        </is>
      </c>
      <c r="D96" s="5" t="inlineStr">
        <is>
          <t>js/sanctuary/SanctuaryFlora.js</t>
        </is>
      </c>
      <c r="E96" s="5" t="inlineStr">
        <is>
          <t>MOD-027</t>
        </is>
      </c>
      <c r="F96" s="5" t="inlineStr">
        <is>
          <t>SanctuaryGround.js</t>
        </is>
      </c>
      <c r="G96" s="5" t="inlineStr">
        <is>
          <t>Legacy/unused</t>
        </is>
      </c>
    </row>
    <row r="97">
      <c r="A97" s="5" t="inlineStr">
        <is>
          <t>EDG-0093</t>
        </is>
      </c>
      <c r="B97" s="5" t="inlineStr">
        <is>
          <t>import</t>
        </is>
      </c>
      <c r="C97" s="5" t="inlineStr">
        <is>
          <t>MOD-024</t>
        </is>
      </c>
      <c r="D97" s="5" t="inlineStr">
        <is>
          <t>js/sanctuary/SanctuaryFlora.js</t>
        </is>
      </c>
      <c r="E97" s="5" t="inlineStr">
        <is>
          <t>MOD-098</t>
        </is>
      </c>
      <c r="F97" s="5" t="inlineStr">
        <is>
          <t>SimulationController.js</t>
        </is>
      </c>
      <c r="G97" s="5" t="inlineStr">
        <is>
          <t>Legacy/unused</t>
        </is>
      </c>
    </row>
    <row r="98">
      <c r="A98" s="5" t="inlineStr">
        <is>
          <t>EDG-0094</t>
        </is>
      </c>
      <c r="B98" s="5" t="inlineStr">
        <is>
          <t>global-write</t>
        </is>
      </c>
      <c r="C98" s="5" t="inlineStr">
        <is>
          <t>MOD-024</t>
        </is>
      </c>
      <c r="D98" s="5" t="inlineStr">
        <is>
          <t>js/sanctuary/SanctuaryFlora.js</t>
        </is>
      </c>
      <c r="E98" s="5" t="inlineStr">
        <is>
          <t>window.__sanctuaryFloraTimeUniform</t>
        </is>
      </c>
      <c r="F98" s="5" t="inlineStr"/>
      <c r="G98" s="5" t="inlineStr">
        <is>
          <t>Legacy/unused</t>
        </is>
      </c>
    </row>
    <row r="99">
      <c r="A99" s="5" t="inlineStr">
        <is>
          <t>EDG-0095</t>
        </is>
      </c>
      <c r="B99" s="5" t="inlineStr">
        <is>
          <t>global-write</t>
        </is>
      </c>
      <c r="C99" s="5" t="inlineStr">
        <is>
          <t>MOD-025</t>
        </is>
      </c>
      <c r="D99" s="5" t="inlineStr">
        <is>
          <t>js/sanctuary/SanctuaryFpsHud.js</t>
        </is>
      </c>
      <c r="E99" s="5" t="inlineStr">
        <is>
          <t>window.__sanctuaryTreesHidden</t>
        </is>
      </c>
      <c r="F99" s="5" t="inlineStr"/>
      <c r="G99" s="5" t="inlineStr">
        <is>
          <t>Legacy/unused</t>
        </is>
      </c>
    </row>
    <row r="100">
      <c r="A100" s="5" t="inlineStr">
        <is>
          <t>EDG-0096</t>
        </is>
      </c>
      <c r="B100" s="5" t="inlineStr">
        <is>
          <t>import</t>
        </is>
      </c>
      <c r="C100" s="5" t="inlineStr">
        <is>
          <t>MOD-026</t>
        </is>
      </c>
      <c r="D100" s="5" t="inlineStr">
        <is>
          <t>js/sanctuary/SanctuaryFrogs.js</t>
        </is>
      </c>
      <c r="E100" s="5" t="inlineStr">
        <is>
          <t>MOD-027</t>
        </is>
      </c>
      <c r="F100" s="5" t="inlineStr">
        <is>
          <t>SanctuaryGround.js</t>
        </is>
      </c>
      <c r="G100" s="5" t="inlineStr">
        <is>
          <t>Live</t>
        </is>
      </c>
    </row>
    <row r="101">
      <c r="A101" s="5" t="inlineStr">
        <is>
          <t>EDG-0097</t>
        </is>
      </c>
      <c r="B101" s="5" t="inlineStr">
        <is>
          <t>import</t>
        </is>
      </c>
      <c r="C101" s="5" t="inlineStr">
        <is>
          <t>MOD-026</t>
        </is>
      </c>
      <c r="D101" s="5" t="inlineStr">
        <is>
          <t>js/sanctuary/SanctuaryFrogs.js</t>
        </is>
      </c>
      <c r="E101" s="5" t="inlineStr">
        <is>
          <t>MOD-092</t>
        </is>
      </c>
      <c r="F101" s="5" t="inlineStr">
        <is>
          <t>FrameBudget.js</t>
        </is>
      </c>
      <c r="G101" s="5" t="inlineStr">
        <is>
          <t>Live</t>
        </is>
      </c>
    </row>
    <row r="102">
      <c r="A102" s="5" t="inlineStr">
        <is>
          <t>EDG-0098</t>
        </is>
      </c>
      <c r="B102" s="5" t="inlineStr">
        <is>
          <t>global-write</t>
        </is>
      </c>
      <c r="C102" s="5" t="inlineStr">
        <is>
          <t>MOD-026</t>
        </is>
      </c>
      <c r="D102" s="5" t="inlineStr">
        <is>
          <t>js/sanctuary/SanctuaryFrogs.js</t>
        </is>
      </c>
      <c r="E102" s="5" t="inlineStr">
        <is>
          <t>window.__sanctuaryFrogOnLily</t>
        </is>
      </c>
      <c r="F102" s="5" t="inlineStr"/>
      <c r="G102" s="5" t="inlineStr">
        <is>
          <t>Live</t>
        </is>
      </c>
    </row>
    <row r="103">
      <c r="A103" s="5" t="inlineStr">
        <is>
          <t>EDG-0099</t>
        </is>
      </c>
      <c r="B103" s="5" t="inlineStr">
        <is>
          <t>global-write</t>
        </is>
      </c>
      <c r="C103" s="5" t="inlineStr">
        <is>
          <t>MOD-026</t>
        </is>
      </c>
      <c r="D103" s="5" t="inlineStr">
        <is>
          <t>js/sanctuary/SanctuaryFrogs.js</t>
        </is>
      </c>
      <c r="E103" s="5" t="inlineStr">
        <is>
          <t>window.__sanctuaryFrogs</t>
        </is>
      </c>
      <c r="F103" s="5" t="inlineStr"/>
      <c r="G103" s="5" t="inlineStr">
        <is>
          <t>Live</t>
        </is>
      </c>
    </row>
    <row r="104">
      <c r="A104" s="5" t="inlineStr">
        <is>
          <t>EDG-0100</t>
        </is>
      </c>
      <c r="B104" s="5" t="inlineStr">
        <is>
          <t>global-write</t>
        </is>
      </c>
      <c r="C104" s="5" t="inlineStr">
        <is>
          <t>MOD-026</t>
        </is>
      </c>
      <c r="D104" s="5" t="inlineStr">
        <is>
          <t>js/sanctuary/SanctuaryFrogs.js</t>
        </is>
      </c>
      <c r="E104" s="5" t="inlineStr">
        <is>
          <t>window.__sanctuaryFrogsRegenerate</t>
        </is>
      </c>
      <c r="F104" s="5" t="inlineStr"/>
      <c r="G104" s="5" t="inlineStr">
        <is>
          <t>Live</t>
        </is>
      </c>
    </row>
    <row r="105">
      <c r="A105" s="5" t="inlineStr">
        <is>
          <t>EDG-0101</t>
        </is>
      </c>
      <c r="B105" s="5" t="inlineStr">
        <is>
          <t>import</t>
        </is>
      </c>
      <c r="C105" s="5" t="inlineStr">
        <is>
          <t>MOD-027</t>
        </is>
      </c>
      <c r="D105" s="5" t="inlineStr">
        <is>
          <t>js/sanctuary/SanctuaryGround.js</t>
        </is>
      </c>
      <c r="E105" s="5" t="inlineStr">
        <is>
          <t>MOD-036</t>
        </is>
      </c>
      <c r="F105" s="5" t="inlineStr">
        <is>
          <t>SanctuarySceneConstructor.js</t>
        </is>
      </c>
      <c r="G105" s="5" t="inlineStr">
        <is>
          <t>Live</t>
        </is>
      </c>
    </row>
    <row r="106">
      <c r="A106" s="5" t="inlineStr">
        <is>
          <t>EDG-0102</t>
        </is>
      </c>
      <c r="B106" s="5" t="inlineStr">
        <is>
          <t>import</t>
        </is>
      </c>
      <c r="C106" s="5" t="inlineStr">
        <is>
          <t>MOD-027</t>
        </is>
      </c>
      <c r="D106" s="5" t="inlineStr">
        <is>
          <t>js/sanctuary/SanctuaryGround.js</t>
        </is>
      </c>
      <c r="E106" s="5" t="inlineStr">
        <is>
          <t>MOD-098</t>
        </is>
      </c>
      <c r="F106" s="5" t="inlineStr">
        <is>
          <t>SimulationController.js</t>
        </is>
      </c>
      <c r="G106" s="5" t="inlineStr">
        <is>
          <t>Live</t>
        </is>
      </c>
    </row>
    <row r="107">
      <c r="A107" s="5" t="inlineStr">
        <is>
          <t>EDG-0103</t>
        </is>
      </c>
      <c r="B107" s="5" t="inlineStr">
        <is>
          <t>asset</t>
        </is>
      </c>
      <c r="C107" s="5" t="inlineStr">
        <is>
          <t>MOD-027</t>
        </is>
      </c>
      <c r="D107" s="5" t="inlineStr">
        <is>
          <t>js/sanctuary/SanctuaryGround.js</t>
        </is>
      </c>
      <c r="E107" s="5" t="inlineStr">
        <is>
          <t>Assets/landscape-scenes/terrain/grass-seamless.png</t>
        </is>
      </c>
      <c r="F107" s="5" t="inlineStr"/>
      <c r="G107" s="5" t="inlineStr">
        <is>
          <t>Live</t>
        </is>
      </c>
    </row>
    <row r="108">
      <c r="A108" s="5" t="inlineStr">
        <is>
          <t>EDG-0104</t>
        </is>
      </c>
      <c r="B108" s="5" t="inlineStr">
        <is>
          <t>import</t>
        </is>
      </c>
      <c r="C108" s="5" t="inlineStr">
        <is>
          <t>MOD-028</t>
        </is>
      </c>
      <c r="D108" s="5" t="inlineStr">
        <is>
          <t>js/sanctuary/SanctuaryHexGrid.js</t>
        </is>
      </c>
      <c r="E108" s="5" t="inlineStr">
        <is>
          <t>MOD-027</t>
        </is>
      </c>
      <c r="F108" s="5" t="inlineStr">
        <is>
          <t>SanctuaryGround.js</t>
        </is>
      </c>
      <c r="G108" s="5" t="inlineStr">
        <is>
          <t>Live</t>
        </is>
      </c>
    </row>
    <row r="109">
      <c r="A109" s="5" t="inlineStr">
        <is>
          <t>EDG-0105</t>
        </is>
      </c>
      <c r="B109" s="5" t="inlineStr">
        <is>
          <t>import</t>
        </is>
      </c>
      <c r="C109" s="5" t="inlineStr">
        <is>
          <t>MOD-028</t>
        </is>
      </c>
      <c r="D109" s="5" t="inlineStr">
        <is>
          <t>js/sanctuary/SanctuaryHexGrid.js</t>
        </is>
      </c>
      <c r="E109" s="5" t="inlineStr">
        <is>
          <t>MOD-098</t>
        </is>
      </c>
      <c r="F109" s="5" t="inlineStr">
        <is>
          <t>SimulationController.js</t>
        </is>
      </c>
      <c r="G109" s="5" t="inlineStr">
        <is>
          <t>Live</t>
        </is>
      </c>
    </row>
    <row r="110">
      <c r="A110" s="5" t="inlineStr">
        <is>
          <t>EDG-0106</t>
        </is>
      </c>
      <c r="B110" s="5" t="inlineStr">
        <is>
          <t>import</t>
        </is>
      </c>
      <c r="C110" s="5" t="inlineStr">
        <is>
          <t>MOD-029</t>
        </is>
      </c>
      <c r="D110" s="5" t="inlineStr">
        <is>
          <t>js/sanctuary/SanctuaryInventory.js</t>
        </is>
      </c>
      <c r="E110" s="5" t="inlineStr">
        <is>
          <t>MOD-093</t>
        </is>
      </c>
      <c r="F110" s="5" t="inlineStr">
        <is>
          <t>InteractionBus.js</t>
        </is>
      </c>
      <c r="G110" s="5" t="inlineStr">
        <is>
          <t>Live</t>
        </is>
      </c>
    </row>
    <row r="111">
      <c r="A111" s="5" t="inlineStr">
        <is>
          <t>EDG-0107</t>
        </is>
      </c>
      <c r="B111" s="5" t="inlineStr">
        <is>
          <t>import</t>
        </is>
      </c>
      <c r="C111" s="5" t="inlineStr">
        <is>
          <t>MOD-029</t>
        </is>
      </c>
      <c r="D111" s="5" t="inlineStr">
        <is>
          <t>js/sanctuary/SanctuaryInventory.js</t>
        </is>
      </c>
      <c r="E111" s="5" t="inlineStr">
        <is>
          <t>MOD-098</t>
        </is>
      </c>
      <c r="F111" s="5" t="inlineStr">
        <is>
          <t>SimulationController.js</t>
        </is>
      </c>
      <c r="G111" s="5" t="inlineStr">
        <is>
          <t>Live</t>
        </is>
      </c>
    </row>
    <row r="112">
      <c r="A112" s="5" t="inlineStr">
        <is>
          <t>EDG-0108</t>
        </is>
      </c>
      <c r="B112" s="5" t="inlineStr">
        <is>
          <t>import</t>
        </is>
      </c>
      <c r="C112" s="5" t="inlineStr">
        <is>
          <t>MOD-029</t>
        </is>
      </c>
      <c r="D112" s="5" t="inlineStr">
        <is>
          <t>js/sanctuary/SanctuaryInventory.js</t>
        </is>
      </c>
      <c r="E112" s="5" t="inlineStr">
        <is>
          <t>MOD-100</t>
        </is>
      </c>
      <c r="F112" s="5" t="inlineStr">
        <is>
          <t>anuEvents.js</t>
        </is>
      </c>
      <c r="G112" s="5" t="inlineStr">
        <is>
          <t>Live</t>
        </is>
      </c>
    </row>
    <row r="113">
      <c r="A113" s="5" t="inlineStr">
        <is>
          <t>EDG-0109</t>
        </is>
      </c>
      <c r="B113" s="5" t="inlineStr">
        <is>
          <t>global-write</t>
        </is>
      </c>
      <c r="C113" s="5" t="inlineStr">
        <is>
          <t>MOD-029</t>
        </is>
      </c>
      <c r="D113" s="5" t="inlineStr">
        <is>
          <t>js/sanctuary/SanctuaryInventory.js</t>
        </is>
      </c>
      <c r="E113" s="5" t="inlineStr">
        <is>
          <t>window.sanctuaryGrant</t>
        </is>
      </c>
      <c r="F113" s="5" t="inlineStr"/>
      <c r="G113" s="5" t="inlineStr">
        <is>
          <t>Live</t>
        </is>
      </c>
    </row>
    <row r="114">
      <c r="A114" s="5" t="inlineStr">
        <is>
          <t>EDG-0110</t>
        </is>
      </c>
      <c r="B114" s="5" t="inlineStr">
        <is>
          <t>global-write</t>
        </is>
      </c>
      <c r="C114" s="5" t="inlineStr">
        <is>
          <t>MOD-029</t>
        </is>
      </c>
      <c r="D114" s="5" t="inlineStr">
        <is>
          <t>js/sanctuary/SanctuaryInventory.js</t>
        </is>
      </c>
      <c r="E114" s="5" t="inlineStr">
        <is>
          <t>window.sanctuaryInventory</t>
        </is>
      </c>
      <c r="F114" s="5" t="inlineStr"/>
      <c r="G114" s="5" t="inlineStr">
        <is>
          <t>Live</t>
        </is>
      </c>
    </row>
    <row r="115">
      <c r="A115" s="5" t="inlineStr">
        <is>
          <t>EDG-0111</t>
        </is>
      </c>
      <c r="B115" s="5" t="inlineStr">
        <is>
          <t>anu-event-dispatch</t>
        </is>
      </c>
      <c r="C115" s="5" t="inlineStr">
        <is>
          <t>MOD-029</t>
        </is>
      </c>
      <c r="D115" s="5" t="inlineStr">
        <is>
          <t>js/sanctuary/SanctuaryInventory.js</t>
        </is>
      </c>
      <c r="E115" s="5" t="inlineStr">
        <is>
          <t>ANU_EVENTS.ITEM_EVENT</t>
        </is>
      </c>
      <c r="F115" s="5" t="inlineStr"/>
      <c r="G115" s="5" t="inlineStr">
        <is>
          <t>Live</t>
        </is>
      </c>
    </row>
    <row r="116">
      <c r="A116" s="5" t="inlineStr">
        <is>
          <t>EDG-0112</t>
        </is>
      </c>
      <c r="B116" s="5" t="inlineStr">
        <is>
          <t>import</t>
        </is>
      </c>
      <c r="C116" s="5" t="inlineStr">
        <is>
          <t>MOD-030</t>
        </is>
      </c>
      <c r="D116" s="5" t="inlineStr">
        <is>
          <t>js/sanctuary/SanctuaryJournalBridge.js</t>
        </is>
      </c>
      <c r="E116" s="5" t="inlineStr">
        <is>
          <t>MOD-093</t>
        </is>
      </c>
      <c r="F116" s="5" t="inlineStr">
        <is>
          <t>InteractionBus.js</t>
        </is>
      </c>
      <c r="G116" s="5" t="inlineStr">
        <is>
          <t>Live</t>
        </is>
      </c>
    </row>
    <row r="117">
      <c r="A117" s="5" t="inlineStr">
        <is>
          <t>EDG-0113</t>
        </is>
      </c>
      <c r="B117" s="5" t="inlineStr">
        <is>
          <t>import</t>
        </is>
      </c>
      <c r="C117" s="5" t="inlineStr">
        <is>
          <t>MOD-030</t>
        </is>
      </c>
      <c r="D117" s="5" t="inlineStr">
        <is>
          <t>js/sanctuary/SanctuaryJournalBridge.js</t>
        </is>
      </c>
      <c r="E117" s="5" t="inlineStr">
        <is>
          <t>MOD-098</t>
        </is>
      </c>
      <c r="F117" s="5" t="inlineStr">
        <is>
          <t>SimulationController.js</t>
        </is>
      </c>
      <c r="G117" s="5" t="inlineStr">
        <is>
          <t>Live</t>
        </is>
      </c>
    </row>
    <row r="118">
      <c r="A118" s="5" t="inlineStr">
        <is>
          <t>EDG-0114</t>
        </is>
      </c>
      <c r="B118" s="5" t="inlineStr">
        <is>
          <t>global-write</t>
        </is>
      </c>
      <c r="C118" s="5" t="inlineStr">
        <is>
          <t>MOD-030</t>
        </is>
      </c>
      <c r="D118" s="5" t="inlineStr">
        <is>
          <t>js/sanctuary/SanctuaryJournalBridge.js</t>
        </is>
      </c>
      <c r="E118" s="5" t="inlineStr">
        <is>
          <t>window.sanctuaryJournalBridge</t>
        </is>
      </c>
      <c r="F118" s="5" t="inlineStr"/>
      <c r="G118" s="5" t="inlineStr">
        <is>
          <t>Live</t>
        </is>
      </c>
    </row>
    <row r="119">
      <c r="A119" s="5" t="inlineStr">
        <is>
          <t>EDG-0115</t>
        </is>
      </c>
      <c r="B119" s="5" t="inlineStr">
        <is>
          <t>import</t>
        </is>
      </c>
      <c r="C119" s="5" t="inlineStr">
        <is>
          <t>MOD-031</t>
        </is>
      </c>
      <c r="D119" s="5" t="inlineStr">
        <is>
          <t>js/sanctuary/SanctuaryKeyboardLook.js</t>
        </is>
      </c>
      <c r="E119" s="5" t="inlineStr">
        <is>
          <t>MOD-015</t>
        </is>
      </c>
      <c r="F119" s="5" t="inlineStr">
        <is>
          <t>SanctuaryClickToMove.js</t>
        </is>
      </c>
      <c r="G119" s="5" t="inlineStr">
        <is>
          <t>Live</t>
        </is>
      </c>
    </row>
    <row r="120">
      <c r="A120" s="5" t="inlineStr">
        <is>
          <t>EDG-0116</t>
        </is>
      </c>
      <c r="B120" s="5" t="inlineStr">
        <is>
          <t>import</t>
        </is>
      </c>
      <c r="C120" s="5" t="inlineStr">
        <is>
          <t>MOD-031</t>
        </is>
      </c>
      <c r="D120" s="5" t="inlineStr">
        <is>
          <t>js/sanctuary/SanctuaryKeyboardLook.js</t>
        </is>
      </c>
      <c r="E120" s="5" t="inlineStr">
        <is>
          <t>MOD-027</t>
        </is>
      </c>
      <c r="F120" s="5" t="inlineStr">
        <is>
          <t>SanctuaryGround.js</t>
        </is>
      </c>
      <c r="G120" s="5" t="inlineStr">
        <is>
          <t>Live</t>
        </is>
      </c>
    </row>
    <row r="121">
      <c r="A121" s="5" t="inlineStr">
        <is>
          <t>EDG-0117</t>
        </is>
      </c>
      <c r="B121" s="5" t="inlineStr">
        <is>
          <t>global-write</t>
        </is>
      </c>
      <c r="C121" s="5" t="inlineStr">
        <is>
          <t>MOD-031</t>
        </is>
      </c>
      <c r="D121" s="5" t="inlineStr">
        <is>
          <t>js/sanctuary/SanctuaryKeyboardLook.js</t>
        </is>
      </c>
      <c r="E121" s="5" t="inlineStr">
        <is>
          <t>window.__sanctuaryPlayerYaw</t>
        </is>
      </c>
      <c r="F121" s="5" t="inlineStr"/>
      <c r="G121" s="5" t="inlineStr">
        <is>
          <t>Live</t>
        </is>
      </c>
    </row>
    <row r="122">
      <c r="A122" s="5" t="inlineStr">
        <is>
          <t>EDG-0118</t>
        </is>
      </c>
      <c r="B122" s="5" t="inlineStr">
        <is>
          <t>import</t>
        </is>
      </c>
      <c r="C122" s="5" t="inlineStr">
        <is>
          <t>MOD-033</t>
        </is>
      </c>
      <c r="D122" s="5" t="inlineStr">
        <is>
          <t>js/sanctuary/SanctuaryMutations.js</t>
        </is>
      </c>
      <c r="E122" s="5" t="inlineStr">
        <is>
          <t>MOD-093</t>
        </is>
      </c>
      <c r="F122" s="5" t="inlineStr">
        <is>
          <t>InteractionBus.js</t>
        </is>
      </c>
      <c r="G122" s="5" t="inlineStr">
        <is>
          <t>Live</t>
        </is>
      </c>
    </row>
    <row r="123">
      <c r="A123" s="5" t="inlineStr">
        <is>
          <t>EDG-0119</t>
        </is>
      </c>
      <c r="B123" s="5" t="inlineStr">
        <is>
          <t>import</t>
        </is>
      </c>
      <c r="C123" s="5" t="inlineStr">
        <is>
          <t>MOD-033</t>
        </is>
      </c>
      <c r="D123" s="5" t="inlineStr">
        <is>
          <t>js/sanctuary/SanctuaryMutations.js</t>
        </is>
      </c>
      <c r="E123" s="5" t="inlineStr">
        <is>
          <t>MOD-098</t>
        </is>
      </c>
      <c r="F123" s="5" t="inlineStr">
        <is>
          <t>SimulationController.js</t>
        </is>
      </c>
      <c r="G123" s="5" t="inlineStr">
        <is>
          <t>Live</t>
        </is>
      </c>
    </row>
    <row r="124">
      <c r="A124" s="5" t="inlineStr">
        <is>
          <t>EDG-0120</t>
        </is>
      </c>
      <c r="B124" s="5" t="inlineStr">
        <is>
          <t>import</t>
        </is>
      </c>
      <c r="C124" s="5" t="inlineStr">
        <is>
          <t>MOD-033</t>
        </is>
      </c>
      <c r="D124" s="5" t="inlineStr">
        <is>
          <t>js/sanctuary/SanctuaryMutations.js</t>
        </is>
      </c>
      <c r="E124" s="5" t="inlineStr">
        <is>
          <t>MOD-100</t>
        </is>
      </c>
      <c r="F124" s="5" t="inlineStr">
        <is>
          <t>anuEvents.js</t>
        </is>
      </c>
      <c r="G124" s="5" t="inlineStr">
        <is>
          <t>Live</t>
        </is>
      </c>
    </row>
    <row r="125">
      <c r="A125" s="5" t="inlineStr">
        <is>
          <t>EDG-0121</t>
        </is>
      </c>
      <c r="B125" s="5" t="inlineStr">
        <is>
          <t>global-write</t>
        </is>
      </c>
      <c r="C125" s="5" t="inlineStr">
        <is>
          <t>MOD-033</t>
        </is>
      </c>
      <c r="D125" s="5" t="inlineStr">
        <is>
          <t>js/sanctuary/SanctuaryMutations.js</t>
        </is>
      </c>
      <c r="E125" s="5" t="inlineStr">
        <is>
          <t>window.SanctuaryMutations</t>
        </is>
      </c>
      <c r="F125" s="5" t="inlineStr"/>
      <c r="G125" s="5" t="inlineStr">
        <is>
          <t>Live</t>
        </is>
      </c>
    </row>
    <row r="126">
      <c r="A126" s="5" t="inlineStr">
        <is>
          <t>EDG-0122</t>
        </is>
      </c>
      <c r="B126" s="5" t="inlineStr">
        <is>
          <t>anu-event-dispatch</t>
        </is>
      </c>
      <c r="C126" s="5" t="inlineStr">
        <is>
          <t>MOD-033</t>
        </is>
      </c>
      <c r="D126" s="5" t="inlineStr">
        <is>
          <t>js/sanctuary/SanctuaryMutations.js</t>
        </is>
      </c>
      <c r="E126" s="5" t="inlineStr">
        <is>
          <t>ANU_EVENTS.SANCTUARY_MOLD</t>
        </is>
      </c>
      <c r="F126" s="5" t="inlineStr"/>
      <c r="G126" s="5" t="inlineStr">
        <is>
          <t>Live</t>
        </is>
      </c>
    </row>
    <row r="127">
      <c r="A127" s="5" t="inlineStr">
        <is>
          <t>EDG-0123</t>
        </is>
      </c>
      <c r="B127" s="5" t="inlineStr">
        <is>
          <t>import</t>
        </is>
      </c>
      <c r="C127" s="5" t="inlineStr">
        <is>
          <t>MOD-034</t>
        </is>
      </c>
      <c r="D127" s="5" t="inlineStr">
        <is>
          <t>js/sanctuary/SanctuaryPondTrees.js</t>
        </is>
      </c>
      <c r="E127" s="5" t="inlineStr">
        <is>
          <t>MOD-027</t>
        </is>
      </c>
      <c r="F127" s="5" t="inlineStr">
        <is>
          <t>SanctuaryGround.js</t>
        </is>
      </c>
      <c r="G127" s="5" t="inlineStr">
        <is>
          <t>Live</t>
        </is>
      </c>
    </row>
    <row r="128">
      <c r="A128" s="5" t="inlineStr">
        <is>
          <t>EDG-0124</t>
        </is>
      </c>
      <c r="B128" s="5" t="inlineStr">
        <is>
          <t>import</t>
        </is>
      </c>
      <c r="C128" s="5" t="inlineStr">
        <is>
          <t>MOD-034</t>
        </is>
      </c>
      <c r="D128" s="5" t="inlineStr">
        <is>
          <t>js/sanctuary/SanctuaryPondTrees.js</t>
        </is>
      </c>
      <c r="E128" s="5" t="inlineStr">
        <is>
          <t>MOD-104</t>
        </is>
      </c>
      <c r="F128" s="5" t="inlineStr">
        <is>
          <t>gltfLoaderSetup.js</t>
        </is>
      </c>
      <c r="G128" s="5" t="inlineStr">
        <is>
          <t>Live</t>
        </is>
      </c>
    </row>
    <row r="129">
      <c r="A129" s="5" t="inlineStr">
        <is>
          <t>EDG-0125</t>
        </is>
      </c>
      <c r="B129" s="5" t="inlineStr">
        <is>
          <t>asset</t>
        </is>
      </c>
      <c r="C129" s="5" t="inlineStr">
        <is>
          <t>MOD-034</t>
        </is>
      </c>
      <c r="D129" s="5" t="inlineStr">
        <is>
          <t>js/sanctuary/SanctuaryPondTrees.js</t>
        </is>
      </c>
      <c r="E129" s="5" t="inlineStr">
        <is>
          <t>Assets/bush.glb</t>
        </is>
      </c>
      <c r="F129" s="5" t="inlineStr"/>
      <c r="G129" s="5" t="inlineStr">
        <is>
          <t>Live</t>
        </is>
      </c>
    </row>
    <row r="130">
      <c r="A130" s="5" t="inlineStr">
        <is>
          <t>EDG-0126</t>
        </is>
      </c>
      <c r="B130" s="5" t="inlineStr">
        <is>
          <t>asset</t>
        </is>
      </c>
      <c r="C130" s="5" t="inlineStr">
        <is>
          <t>MOD-034</t>
        </is>
      </c>
      <c r="D130" s="5" t="inlineStr">
        <is>
          <t>js/sanctuary/SanctuaryPondTrees.js</t>
        </is>
      </c>
      <c r="E130" s="5" t="inlineStr">
        <is>
          <t>Assets/flora/reeds.glb</t>
        </is>
      </c>
      <c r="F130" s="5" t="inlineStr"/>
      <c r="G130" s="5" t="inlineStr">
        <is>
          <t>Live</t>
        </is>
      </c>
    </row>
    <row r="131">
      <c r="A131" s="5" t="inlineStr">
        <is>
          <t>EDG-0127</t>
        </is>
      </c>
      <c r="B131" s="5" t="inlineStr">
        <is>
          <t>asset</t>
        </is>
      </c>
      <c r="C131" s="5" t="inlineStr">
        <is>
          <t>MOD-034</t>
        </is>
      </c>
      <c r="D131" s="5" t="inlineStr">
        <is>
          <t>js/sanctuary/SanctuaryPondTrees.js</t>
        </is>
      </c>
      <c r="E131" s="5" t="inlineStr">
        <is>
          <t>Assets/tree.glb</t>
        </is>
      </c>
      <c r="F131" s="5" t="inlineStr"/>
      <c r="G131" s="5" t="inlineStr">
        <is>
          <t>Live</t>
        </is>
      </c>
    </row>
    <row r="132">
      <c r="A132" s="5" t="inlineStr">
        <is>
          <t>EDG-0128</t>
        </is>
      </c>
      <c r="B132" s="5" t="inlineStr">
        <is>
          <t>import</t>
        </is>
      </c>
      <c r="C132" s="5" t="inlineStr">
        <is>
          <t>MOD-035</t>
        </is>
      </c>
      <c r="D132" s="5" t="inlineStr">
        <is>
          <t>js/sanctuary/SanctuaryPool.js</t>
        </is>
      </c>
      <c r="E132" s="5" t="inlineStr">
        <is>
          <t>MOD-027</t>
        </is>
      </c>
      <c r="F132" s="5" t="inlineStr">
        <is>
          <t>SanctuaryGround.js</t>
        </is>
      </c>
      <c r="G132" s="5" t="inlineStr">
        <is>
          <t>Live</t>
        </is>
      </c>
    </row>
    <row r="133">
      <c r="A133" s="5" t="inlineStr">
        <is>
          <t>EDG-0129</t>
        </is>
      </c>
      <c r="B133" s="5" t="inlineStr">
        <is>
          <t>import</t>
        </is>
      </c>
      <c r="C133" s="5" t="inlineStr">
        <is>
          <t>MOD-035</t>
        </is>
      </c>
      <c r="D133" s="5" t="inlineStr">
        <is>
          <t>js/sanctuary/SanctuaryPool.js</t>
        </is>
      </c>
      <c r="E133" s="5" t="inlineStr">
        <is>
          <t>MOD-036</t>
        </is>
      </c>
      <c r="F133" s="5" t="inlineStr">
        <is>
          <t>SanctuarySceneConstructor.js</t>
        </is>
      </c>
      <c r="G133" s="5" t="inlineStr">
        <is>
          <t>Live</t>
        </is>
      </c>
    </row>
    <row r="134">
      <c r="A134" s="5" t="inlineStr">
        <is>
          <t>EDG-0130</t>
        </is>
      </c>
      <c r="B134" s="5" t="inlineStr">
        <is>
          <t>import</t>
        </is>
      </c>
      <c r="C134" s="5" t="inlineStr">
        <is>
          <t>MOD-035</t>
        </is>
      </c>
      <c r="D134" s="5" t="inlineStr">
        <is>
          <t>js/sanctuary/SanctuaryPool.js</t>
        </is>
      </c>
      <c r="E134" s="5" t="inlineStr">
        <is>
          <t>MOD-092</t>
        </is>
      </c>
      <c r="F134" s="5" t="inlineStr">
        <is>
          <t>FrameBudget.js</t>
        </is>
      </c>
      <c r="G134" s="5" t="inlineStr">
        <is>
          <t>Live</t>
        </is>
      </c>
    </row>
    <row r="135">
      <c r="A135" s="5" t="inlineStr">
        <is>
          <t>EDG-0131</t>
        </is>
      </c>
      <c r="B135" s="5" t="inlineStr">
        <is>
          <t>import</t>
        </is>
      </c>
      <c r="C135" s="5" t="inlineStr">
        <is>
          <t>MOD-035</t>
        </is>
      </c>
      <c r="D135" s="5" t="inlineStr">
        <is>
          <t>js/sanctuary/SanctuaryPool.js</t>
        </is>
      </c>
      <c r="E135" s="5" t="inlineStr">
        <is>
          <t>MOD-098</t>
        </is>
      </c>
      <c r="F135" s="5" t="inlineStr">
        <is>
          <t>SimulationController.js</t>
        </is>
      </c>
      <c r="G135" s="5" t="inlineStr">
        <is>
          <t>Live</t>
        </is>
      </c>
    </row>
    <row r="136">
      <c r="A136" s="5" t="inlineStr">
        <is>
          <t>EDG-0132</t>
        </is>
      </c>
      <c r="B136" s="5" t="inlineStr">
        <is>
          <t>global-write</t>
        </is>
      </c>
      <c r="C136" s="5" t="inlineStr">
        <is>
          <t>MOD-035</t>
        </is>
      </c>
      <c r="D136" s="5" t="inlineStr">
        <is>
          <t>js/sanctuary/SanctuaryPool.js</t>
        </is>
      </c>
      <c r="E136" s="5" t="inlineStr">
        <is>
          <t>window.__sanctuaryLilyPads</t>
        </is>
      </c>
      <c r="F136" s="5" t="inlineStr"/>
      <c r="G136" s="5" t="inlineStr">
        <is>
          <t>Live</t>
        </is>
      </c>
    </row>
    <row r="137">
      <c r="A137" s="5" t="inlineStr">
        <is>
          <t>EDG-0133</t>
        </is>
      </c>
      <c r="B137" s="5" t="inlineStr">
        <is>
          <t>global-write</t>
        </is>
      </c>
      <c r="C137" s="5" t="inlineStr">
        <is>
          <t>MOD-035</t>
        </is>
      </c>
      <c r="D137" s="5" t="inlineStr">
        <is>
          <t>js/sanctuary/SanctuaryPool.js</t>
        </is>
      </c>
      <c r="E137" s="5" t="inlineStr">
        <is>
          <t>window.__sanctuaryWaterY</t>
        </is>
      </c>
      <c r="F137" s="5" t="inlineStr"/>
      <c r="G137" s="5" t="inlineStr">
        <is>
          <t>Live</t>
        </is>
      </c>
    </row>
    <row r="138">
      <c r="A138" s="5" t="inlineStr">
        <is>
          <t>EDG-0134</t>
        </is>
      </c>
      <c r="B138" s="5" t="inlineStr">
        <is>
          <t>asset</t>
        </is>
      </c>
      <c r="C138" s="5" t="inlineStr">
        <is>
          <t>MOD-035</t>
        </is>
      </c>
      <c r="D138" s="5" t="inlineStr">
        <is>
          <t>js/sanctuary/SanctuaryPool.js</t>
        </is>
      </c>
      <c r="E138" s="5" t="inlineStr">
        <is>
          <t>Assets/landscape-scenes/terrain/rock.png</t>
        </is>
      </c>
      <c r="F138" s="5" t="inlineStr"/>
      <c r="G138" s="5" t="inlineStr">
        <is>
          <t>Live</t>
        </is>
      </c>
    </row>
    <row r="139">
      <c r="A139" s="5" t="inlineStr">
        <is>
          <t>EDG-0135</t>
        </is>
      </c>
      <c r="B139" s="5" t="inlineStr">
        <is>
          <t>import</t>
        </is>
      </c>
      <c r="C139" s="5" t="inlineStr">
        <is>
          <t>MOD-037</t>
        </is>
      </c>
      <c r="D139" s="5" t="inlineStr">
        <is>
          <t>js/sanctuary/SanctuarySky.js</t>
        </is>
      </c>
      <c r="E139" s="5" t="inlineStr">
        <is>
          <t>MOD-098</t>
        </is>
      </c>
      <c r="F139" s="5" t="inlineStr">
        <is>
          <t>SimulationController.js</t>
        </is>
      </c>
      <c r="G139" s="5" t="inlineStr">
        <is>
          <t>Live</t>
        </is>
      </c>
    </row>
    <row r="140">
      <c r="A140" s="5" t="inlineStr">
        <is>
          <t>EDG-0136</t>
        </is>
      </c>
      <c r="B140" s="5" t="inlineStr">
        <is>
          <t>import</t>
        </is>
      </c>
      <c r="C140" s="5" t="inlineStr">
        <is>
          <t>MOD-038</t>
        </is>
      </c>
      <c r="D140" s="5" t="inlineStr">
        <is>
          <t>js/sanctuary/SanctuaryTipiNpcs.js</t>
        </is>
      </c>
      <c r="E140" s="5" t="inlineStr">
        <is>
          <t>MOD-082</t>
        </is>
      </c>
      <c r="F140" s="5" t="inlineStr">
        <is>
          <t>WorldStructures.js</t>
        </is>
      </c>
      <c r="G140" s="5" t="inlineStr">
        <is>
          <t>Live</t>
        </is>
      </c>
    </row>
    <row r="141">
      <c r="A141" s="5" t="inlineStr">
        <is>
          <t>EDG-0137</t>
        </is>
      </c>
      <c r="B141" s="5" t="inlineStr">
        <is>
          <t>import</t>
        </is>
      </c>
      <c r="C141" s="5" t="inlineStr">
        <is>
          <t>MOD-038</t>
        </is>
      </c>
      <c r="D141" s="5" t="inlineStr">
        <is>
          <t>js/sanctuary/SanctuaryTipiNpcs.js</t>
        </is>
      </c>
      <c r="E141" s="5" t="inlineStr">
        <is>
          <t>MOD-098</t>
        </is>
      </c>
      <c r="F141" s="5" t="inlineStr">
        <is>
          <t>SimulationController.js</t>
        </is>
      </c>
      <c r="G141" s="5" t="inlineStr">
        <is>
          <t>Live</t>
        </is>
      </c>
    </row>
    <row r="142">
      <c r="A142" s="5" t="inlineStr">
        <is>
          <t>EDG-0138</t>
        </is>
      </c>
      <c r="B142" s="5" t="inlineStr">
        <is>
          <t>import</t>
        </is>
      </c>
      <c r="C142" s="5" t="inlineStr">
        <is>
          <t>MOD-038</t>
        </is>
      </c>
      <c r="D142" s="5" t="inlineStr">
        <is>
          <t>js/sanctuary/SanctuaryTipiNpcs.js</t>
        </is>
      </c>
      <c r="E142" s="5" t="inlineStr">
        <is>
          <t>MOD-099</t>
        </is>
      </c>
      <c r="F142" s="5" t="inlineStr">
        <is>
          <t>TravelFloorCircleMaterials.js</t>
        </is>
      </c>
      <c r="G142" s="5" t="inlineStr">
        <is>
          <t>Live</t>
        </is>
      </c>
    </row>
    <row r="143">
      <c r="A143" s="5" t="inlineStr">
        <is>
          <t>EDG-0139</t>
        </is>
      </c>
      <c r="B143" s="5" t="inlineStr">
        <is>
          <t>import</t>
        </is>
      </c>
      <c r="C143" s="5" t="inlineStr">
        <is>
          <t>MOD-038</t>
        </is>
      </c>
      <c r="D143" s="5" t="inlineStr">
        <is>
          <t>js/sanctuary/SanctuaryTipiNpcs.js</t>
        </is>
      </c>
      <c r="E143" s="5" t="inlineStr">
        <is>
          <t>MOD-103</t>
        </is>
      </c>
      <c r="F143" s="5" t="inlineStr">
        <is>
          <t>constants.js</t>
        </is>
      </c>
      <c r="G143" s="5" t="inlineStr">
        <is>
          <t>Live</t>
        </is>
      </c>
    </row>
    <row r="144">
      <c r="A144" s="5" t="inlineStr">
        <is>
          <t>EDG-0140</t>
        </is>
      </c>
      <c r="B144" s="5" t="inlineStr">
        <is>
          <t>import</t>
        </is>
      </c>
      <c r="C144" s="5" t="inlineStr">
        <is>
          <t>MOD-038</t>
        </is>
      </c>
      <c r="D144" s="5" t="inlineStr">
        <is>
          <t>js/sanctuary/SanctuaryTipiNpcs.js</t>
        </is>
      </c>
      <c r="E144" s="5" t="inlineStr">
        <is>
          <t>MOD-104</t>
        </is>
      </c>
      <c r="F144" s="5" t="inlineStr">
        <is>
          <t>gltfLoaderSetup.js</t>
        </is>
      </c>
      <c r="G144" s="5" t="inlineStr">
        <is>
          <t>Live</t>
        </is>
      </c>
    </row>
    <row r="145">
      <c r="A145" s="5" t="inlineStr">
        <is>
          <t>EDG-0141</t>
        </is>
      </c>
      <c r="B145" s="5" t="inlineStr">
        <is>
          <t>global-write</t>
        </is>
      </c>
      <c r="C145" s="5" t="inlineStr">
        <is>
          <t>MOD-038</t>
        </is>
      </c>
      <c r="D145" s="5" t="inlineStr">
        <is>
          <t>js/sanctuary/SanctuaryTipiNpcs.js</t>
        </is>
      </c>
      <c r="E145" s="5" t="inlineStr">
        <is>
          <t>window.__regenerateTipiNpcs</t>
        </is>
      </c>
      <c r="F145" s="5" t="inlineStr"/>
      <c r="G145" s="5" t="inlineStr">
        <is>
          <t>Live</t>
        </is>
      </c>
    </row>
    <row r="146">
      <c r="A146" s="5" t="inlineStr">
        <is>
          <t>EDG-0142</t>
        </is>
      </c>
      <c r="B146" s="5" t="inlineStr">
        <is>
          <t>asset</t>
        </is>
      </c>
      <c r="C146" s="5" t="inlineStr">
        <is>
          <t>MOD-038</t>
        </is>
      </c>
      <c r="D146" s="5" t="inlineStr">
        <is>
          <t>js/sanctuary/SanctuaryTipiNpcs.js</t>
        </is>
      </c>
      <c r="E146" s="5" t="inlineStr">
        <is>
          <t>Assets/NPC.BHG.glb</t>
        </is>
      </c>
      <c r="F146" s="5" t="inlineStr"/>
      <c r="G146" s="5" t="inlineStr">
        <is>
          <t>Live</t>
        </is>
      </c>
    </row>
    <row r="147">
      <c r="A147" s="5" t="inlineStr">
        <is>
          <t>EDG-0143</t>
        </is>
      </c>
      <c r="B147" s="5" t="inlineStr">
        <is>
          <t>asset</t>
        </is>
      </c>
      <c r="C147" s="5" t="inlineStr">
        <is>
          <t>MOD-038</t>
        </is>
      </c>
      <c r="D147" s="5" t="inlineStr">
        <is>
          <t>js/sanctuary/SanctuaryTipiNpcs.js</t>
        </is>
      </c>
      <c r="E147" s="5" t="inlineStr">
        <is>
          <t>Assets/NPC.REG.lite.glb</t>
        </is>
      </c>
      <c r="F147" s="5" t="inlineStr"/>
      <c r="G147" s="5" t="inlineStr">
        <is>
          <t>Live</t>
        </is>
      </c>
    </row>
    <row r="148">
      <c r="A148" s="5" t="inlineStr">
        <is>
          <t>EDG-0144</t>
        </is>
      </c>
      <c r="B148" s="5" t="inlineStr">
        <is>
          <t>asset</t>
        </is>
      </c>
      <c r="C148" s="5" t="inlineStr">
        <is>
          <t>MOD-038</t>
        </is>
      </c>
      <c r="D148" s="5" t="inlineStr">
        <is>
          <t>js/sanctuary/SanctuaryTipiNpcs.js</t>
        </is>
      </c>
      <c r="E148" s="5" t="inlineStr">
        <is>
          <t>Assets/NPC.YB.glb</t>
        </is>
      </c>
      <c r="F148" s="5" t="inlineStr"/>
      <c r="G148" s="5" t="inlineStr">
        <is>
          <t>Live</t>
        </is>
      </c>
    </row>
    <row r="149">
      <c r="A149" s="5" t="inlineStr">
        <is>
          <t>EDG-0145</t>
        </is>
      </c>
      <c r="B149" s="5" t="inlineStr">
        <is>
          <t>import</t>
        </is>
      </c>
      <c r="C149" s="5" t="inlineStr">
        <is>
          <t>MOD-039</t>
        </is>
      </c>
      <c r="D149" s="5" t="inlineStr">
        <is>
          <t>js/sanctuary/SanctuaryTipis.js</t>
        </is>
      </c>
      <c r="E149" s="5" t="inlineStr">
        <is>
          <t>MOD-027</t>
        </is>
      </c>
      <c r="F149" s="5" t="inlineStr">
        <is>
          <t>SanctuaryGround.js</t>
        </is>
      </c>
      <c r="G149" s="5" t="inlineStr">
        <is>
          <t>Live</t>
        </is>
      </c>
    </row>
    <row r="150">
      <c r="A150" s="5" t="inlineStr">
        <is>
          <t>EDG-0146</t>
        </is>
      </c>
      <c r="B150" s="5" t="inlineStr">
        <is>
          <t>import</t>
        </is>
      </c>
      <c r="C150" s="5" t="inlineStr">
        <is>
          <t>MOD-039</t>
        </is>
      </c>
      <c r="D150" s="5" t="inlineStr">
        <is>
          <t>js/sanctuary/SanctuaryTipis.js</t>
        </is>
      </c>
      <c r="E150" s="5" t="inlineStr">
        <is>
          <t>MOD-080</t>
        </is>
      </c>
      <c r="F150" s="5" t="inlineStr">
        <is>
          <t>WorldSacredPlatform.js</t>
        </is>
      </c>
      <c r="G150" s="5" t="inlineStr">
        <is>
          <t>Live</t>
        </is>
      </c>
    </row>
    <row r="151">
      <c r="A151" s="5" t="inlineStr">
        <is>
          <t>EDG-0147</t>
        </is>
      </c>
      <c r="B151" s="5" t="inlineStr">
        <is>
          <t>import</t>
        </is>
      </c>
      <c r="C151" s="5" t="inlineStr">
        <is>
          <t>MOD-039</t>
        </is>
      </c>
      <c r="D151" s="5" t="inlineStr">
        <is>
          <t>js/sanctuary/SanctuaryTipis.js</t>
        </is>
      </c>
      <c r="E151" s="5" t="inlineStr">
        <is>
          <t>MOD-082</t>
        </is>
      </c>
      <c r="F151" s="5" t="inlineStr">
        <is>
          <t>WorldStructures.js</t>
        </is>
      </c>
      <c r="G151" s="5" t="inlineStr">
        <is>
          <t>Live</t>
        </is>
      </c>
    </row>
    <row r="152">
      <c r="A152" s="5" t="inlineStr">
        <is>
          <t>EDG-0148</t>
        </is>
      </c>
      <c r="B152" s="5" t="inlineStr">
        <is>
          <t>import</t>
        </is>
      </c>
      <c r="C152" s="5" t="inlineStr">
        <is>
          <t>MOD-039</t>
        </is>
      </c>
      <c r="D152" s="5" t="inlineStr">
        <is>
          <t>js/sanctuary/SanctuaryTipis.js</t>
        </is>
      </c>
      <c r="E152" s="5" t="inlineStr">
        <is>
          <t>MOD-098</t>
        </is>
      </c>
      <c r="F152" s="5" t="inlineStr">
        <is>
          <t>SimulationController.js</t>
        </is>
      </c>
      <c r="G152" s="5" t="inlineStr">
        <is>
          <t>Live</t>
        </is>
      </c>
    </row>
    <row r="153">
      <c r="A153" s="5" t="inlineStr">
        <is>
          <t>EDG-0149</t>
        </is>
      </c>
      <c r="B153" s="5" t="inlineStr">
        <is>
          <t>import</t>
        </is>
      </c>
      <c r="C153" s="5" t="inlineStr">
        <is>
          <t>MOD-039</t>
        </is>
      </c>
      <c r="D153" s="5" t="inlineStr">
        <is>
          <t>js/sanctuary/SanctuaryTipis.js</t>
        </is>
      </c>
      <c r="E153" s="5" t="inlineStr">
        <is>
          <t>MOD-103</t>
        </is>
      </c>
      <c r="F153" s="5" t="inlineStr">
        <is>
          <t>constants.js</t>
        </is>
      </c>
      <c r="G153" s="5" t="inlineStr">
        <is>
          <t>Live</t>
        </is>
      </c>
    </row>
    <row r="154">
      <c r="A154" s="5" t="inlineStr">
        <is>
          <t>EDG-0150</t>
        </is>
      </c>
      <c r="B154" s="5" t="inlineStr">
        <is>
          <t>import</t>
        </is>
      </c>
      <c r="C154" s="5" t="inlineStr">
        <is>
          <t>MOD-039</t>
        </is>
      </c>
      <c r="D154" s="5" t="inlineStr">
        <is>
          <t>js/sanctuary/SanctuaryTipis.js</t>
        </is>
      </c>
      <c r="E154" s="5" t="inlineStr">
        <is>
          <t>MOD-104</t>
        </is>
      </c>
      <c r="F154" s="5" t="inlineStr">
        <is>
          <t>gltfLoaderSetup.js</t>
        </is>
      </c>
      <c r="G154" s="5" t="inlineStr">
        <is>
          <t>Live</t>
        </is>
      </c>
    </row>
    <row r="155">
      <c r="A155" s="5" t="inlineStr">
        <is>
          <t>EDG-0151</t>
        </is>
      </c>
      <c r="B155" s="5" t="inlineStr">
        <is>
          <t>global-write</t>
        </is>
      </c>
      <c r="C155" s="5" t="inlineStr">
        <is>
          <t>MOD-039</t>
        </is>
      </c>
      <c r="D155" s="5" t="inlineStr">
        <is>
          <t>js/sanctuary/SanctuaryTipis.js</t>
        </is>
      </c>
      <c r="E155" s="5" t="inlineStr">
        <is>
          <t>window.__regenerateTipis</t>
        </is>
      </c>
      <c r="F155" s="5" t="inlineStr"/>
      <c r="G155" s="5" t="inlineStr">
        <is>
          <t>Live</t>
        </is>
      </c>
    </row>
    <row r="156">
      <c r="A156" s="5" t="inlineStr">
        <is>
          <t>EDG-0152</t>
        </is>
      </c>
      <c r="B156" s="5" t="inlineStr">
        <is>
          <t>global-write</t>
        </is>
      </c>
      <c r="C156" s="5" t="inlineStr">
        <is>
          <t>MOD-039</t>
        </is>
      </c>
      <c r="D156" s="5" t="inlineStr">
        <is>
          <t>js/sanctuary/SanctuaryTipis.js</t>
        </is>
      </c>
      <c r="E156" s="5" t="inlineStr">
        <is>
          <t>window.__sanctuaryTipi1Anchor</t>
        </is>
      </c>
      <c r="F156" s="5" t="inlineStr"/>
      <c r="G156" s="5" t="inlineStr">
        <is>
          <t>Live</t>
        </is>
      </c>
    </row>
    <row r="157">
      <c r="A157" s="5" t="inlineStr">
        <is>
          <t>EDG-0153</t>
        </is>
      </c>
      <c r="B157" s="5" t="inlineStr">
        <is>
          <t>global-write</t>
        </is>
      </c>
      <c r="C157" s="5" t="inlineStr">
        <is>
          <t>MOD-039</t>
        </is>
      </c>
      <c r="D157" s="5" t="inlineStr">
        <is>
          <t>js/sanctuary/SanctuaryTipis.js</t>
        </is>
      </c>
      <c r="E157" s="5" t="inlineStr">
        <is>
          <t>window.__sanctuaryTipi1DeckTopY</t>
        </is>
      </c>
      <c r="F157" s="5" t="inlineStr"/>
      <c r="G157" s="5" t="inlineStr">
        <is>
          <t>Live</t>
        </is>
      </c>
    </row>
    <row r="158">
      <c r="A158" s="5" t="inlineStr">
        <is>
          <t>EDG-0154</t>
        </is>
      </c>
      <c r="B158" s="5" t="inlineStr">
        <is>
          <t>global-write</t>
        </is>
      </c>
      <c r="C158" s="5" t="inlineStr">
        <is>
          <t>MOD-039</t>
        </is>
      </c>
      <c r="D158" s="5" t="inlineStr">
        <is>
          <t>js/sanctuary/SanctuaryTipis.js</t>
        </is>
      </c>
      <c r="E158" s="5" t="inlineStr">
        <is>
          <t>window.__sanctuaryTipi1PlatMesh</t>
        </is>
      </c>
      <c r="F158" s="5" t="inlineStr"/>
      <c r="G158" s="5" t="inlineStr">
        <is>
          <t>Live</t>
        </is>
      </c>
    </row>
    <row r="159">
      <c r="A159" s="5" t="inlineStr">
        <is>
          <t>EDG-0155</t>
        </is>
      </c>
      <c r="B159" s="5" t="inlineStr">
        <is>
          <t>global-write</t>
        </is>
      </c>
      <c r="C159" s="5" t="inlineStr">
        <is>
          <t>MOD-039</t>
        </is>
      </c>
      <c r="D159" s="5" t="inlineStr">
        <is>
          <t>js/sanctuary/SanctuaryTipis.js</t>
        </is>
      </c>
      <c r="E159" s="5" t="inlineStr">
        <is>
          <t>window.__sanctuaryTipi1Yaw</t>
        </is>
      </c>
      <c r="F159" s="5" t="inlineStr"/>
      <c r="G159" s="5" t="inlineStr">
        <is>
          <t>Live</t>
        </is>
      </c>
    </row>
    <row r="160">
      <c r="A160" s="5" t="inlineStr">
        <is>
          <t>EDG-0156</t>
        </is>
      </c>
      <c r="B160" s="5" t="inlineStr">
        <is>
          <t>global-write</t>
        </is>
      </c>
      <c r="C160" s="5" t="inlineStr">
        <is>
          <t>MOD-039</t>
        </is>
      </c>
      <c r="D160" s="5" t="inlineStr">
        <is>
          <t>js/sanctuary/SanctuaryTipis.js</t>
        </is>
      </c>
      <c r="E160" s="5" t="inlineStr">
        <is>
          <t>window.__sanctuaryTipi2Anchor</t>
        </is>
      </c>
      <c r="F160" s="5" t="inlineStr"/>
      <c r="G160" s="5" t="inlineStr">
        <is>
          <t>Live</t>
        </is>
      </c>
    </row>
    <row r="161">
      <c r="A161" s="5" t="inlineStr">
        <is>
          <t>EDG-0157</t>
        </is>
      </c>
      <c r="B161" s="5" t="inlineStr">
        <is>
          <t>global-write</t>
        </is>
      </c>
      <c r="C161" s="5" t="inlineStr">
        <is>
          <t>MOD-039</t>
        </is>
      </c>
      <c r="D161" s="5" t="inlineStr">
        <is>
          <t>js/sanctuary/SanctuaryTipis.js</t>
        </is>
      </c>
      <c r="E161" s="5" t="inlineStr">
        <is>
          <t>window.__sanctuaryTipi2DeckTopY</t>
        </is>
      </c>
      <c r="F161" s="5" t="inlineStr"/>
      <c r="G161" s="5" t="inlineStr">
        <is>
          <t>Live</t>
        </is>
      </c>
    </row>
    <row r="162">
      <c r="A162" s="5" t="inlineStr">
        <is>
          <t>EDG-0158</t>
        </is>
      </c>
      <c r="B162" s="5" t="inlineStr">
        <is>
          <t>global-write</t>
        </is>
      </c>
      <c r="C162" s="5" t="inlineStr">
        <is>
          <t>MOD-039</t>
        </is>
      </c>
      <c r="D162" s="5" t="inlineStr">
        <is>
          <t>js/sanctuary/SanctuaryTipis.js</t>
        </is>
      </c>
      <c r="E162" s="5" t="inlineStr">
        <is>
          <t>window.__sanctuaryTipi2PlatMesh</t>
        </is>
      </c>
      <c r="F162" s="5" t="inlineStr"/>
      <c r="G162" s="5" t="inlineStr">
        <is>
          <t>Live</t>
        </is>
      </c>
    </row>
    <row r="163">
      <c r="A163" s="5" t="inlineStr">
        <is>
          <t>EDG-0159</t>
        </is>
      </c>
      <c r="B163" s="5" t="inlineStr">
        <is>
          <t>global-write</t>
        </is>
      </c>
      <c r="C163" s="5" t="inlineStr">
        <is>
          <t>MOD-039</t>
        </is>
      </c>
      <c r="D163" s="5" t="inlineStr">
        <is>
          <t>js/sanctuary/SanctuaryTipis.js</t>
        </is>
      </c>
      <c r="E163" s="5" t="inlineStr">
        <is>
          <t>window.__sanctuaryTipi2Yaw</t>
        </is>
      </c>
      <c r="F163" s="5" t="inlineStr"/>
      <c r="G163" s="5" t="inlineStr">
        <is>
          <t>Live</t>
        </is>
      </c>
    </row>
    <row r="164">
      <c r="A164" s="5" t="inlineStr">
        <is>
          <t>EDG-0160</t>
        </is>
      </c>
      <c r="B164" s="5" t="inlineStr">
        <is>
          <t>global-write</t>
        </is>
      </c>
      <c r="C164" s="5" t="inlineStr">
        <is>
          <t>MOD-039</t>
        </is>
      </c>
      <c r="D164" s="5" t="inlineStr">
        <is>
          <t>js/sanctuary/SanctuaryTipis.js</t>
        </is>
      </c>
      <c r="E164" s="5" t="inlineStr">
        <is>
          <t>window.__sanctuaryTipi3Anchor</t>
        </is>
      </c>
      <c r="F164" s="5" t="inlineStr"/>
      <c r="G164" s="5" t="inlineStr">
        <is>
          <t>Live</t>
        </is>
      </c>
    </row>
    <row r="165">
      <c r="A165" s="5" t="inlineStr">
        <is>
          <t>EDG-0161</t>
        </is>
      </c>
      <c r="B165" s="5" t="inlineStr">
        <is>
          <t>global-write</t>
        </is>
      </c>
      <c r="C165" s="5" t="inlineStr">
        <is>
          <t>MOD-039</t>
        </is>
      </c>
      <c r="D165" s="5" t="inlineStr">
        <is>
          <t>js/sanctuary/SanctuaryTipis.js</t>
        </is>
      </c>
      <c r="E165" s="5" t="inlineStr">
        <is>
          <t>window.__sanctuaryTipi3DeckTopY</t>
        </is>
      </c>
      <c r="F165" s="5" t="inlineStr"/>
      <c r="G165" s="5" t="inlineStr">
        <is>
          <t>Live</t>
        </is>
      </c>
    </row>
    <row r="166">
      <c r="A166" s="5" t="inlineStr">
        <is>
          <t>EDG-0162</t>
        </is>
      </c>
      <c r="B166" s="5" t="inlineStr">
        <is>
          <t>global-write</t>
        </is>
      </c>
      <c r="C166" s="5" t="inlineStr">
        <is>
          <t>MOD-039</t>
        </is>
      </c>
      <c r="D166" s="5" t="inlineStr">
        <is>
          <t>js/sanctuary/SanctuaryTipis.js</t>
        </is>
      </c>
      <c r="E166" s="5" t="inlineStr">
        <is>
          <t>window.__sanctuaryTipi3PlatMesh</t>
        </is>
      </c>
      <c r="F166" s="5" t="inlineStr"/>
      <c r="G166" s="5" t="inlineStr">
        <is>
          <t>Live</t>
        </is>
      </c>
    </row>
    <row r="167">
      <c r="A167" s="5" t="inlineStr">
        <is>
          <t>EDG-0163</t>
        </is>
      </c>
      <c r="B167" s="5" t="inlineStr">
        <is>
          <t>global-write</t>
        </is>
      </c>
      <c r="C167" s="5" t="inlineStr">
        <is>
          <t>MOD-039</t>
        </is>
      </c>
      <c r="D167" s="5" t="inlineStr">
        <is>
          <t>js/sanctuary/SanctuaryTipis.js</t>
        </is>
      </c>
      <c r="E167" s="5" t="inlineStr">
        <is>
          <t>window.__sanctuaryTipi3Yaw</t>
        </is>
      </c>
      <c r="F167" s="5" t="inlineStr"/>
      <c r="G167" s="5" t="inlineStr">
        <is>
          <t>Live</t>
        </is>
      </c>
    </row>
    <row r="168">
      <c r="A168" s="5" t="inlineStr">
        <is>
          <t>EDG-0164</t>
        </is>
      </c>
      <c r="B168" s="5" t="inlineStr">
        <is>
          <t>global-write</t>
        </is>
      </c>
      <c r="C168" s="5" t="inlineStr">
        <is>
          <t>MOD-039</t>
        </is>
      </c>
      <c r="D168" s="5" t="inlineStr">
        <is>
          <t>js/sanctuary/SanctuaryTipis.js</t>
        </is>
      </c>
      <c r="E168" s="5" t="inlineStr">
        <is>
          <t>window.__sanctuaryTipi4Anchor</t>
        </is>
      </c>
      <c r="F168" s="5" t="inlineStr"/>
      <c r="G168" s="5" t="inlineStr">
        <is>
          <t>Live</t>
        </is>
      </c>
    </row>
    <row r="169">
      <c r="A169" s="5" t="inlineStr">
        <is>
          <t>EDG-0165</t>
        </is>
      </c>
      <c r="B169" s="5" t="inlineStr">
        <is>
          <t>global-write</t>
        </is>
      </c>
      <c r="C169" s="5" t="inlineStr">
        <is>
          <t>MOD-039</t>
        </is>
      </c>
      <c r="D169" s="5" t="inlineStr">
        <is>
          <t>js/sanctuary/SanctuaryTipis.js</t>
        </is>
      </c>
      <c r="E169" s="5" t="inlineStr">
        <is>
          <t>window.__sanctuaryTipi4DeckTopY</t>
        </is>
      </c>
      <c r="F169" s="5" t="inlineStr"/>
      <c r="G169" s="5" t="inlineStr">
        <is>
          <t>Live</t>
        </is>
      </c>
    </row>
    <row r="170">
      <c r="A170" s="5" t="inlineStr">
        <is>
          <t>EDG-0166</t>
        </is>
      </c>
      <c r="B170" s="5" t="inlineStr">
        <is>
          <t>global-write</t>
        </is>
      </c>
      <c r="C170" s="5" t="inlineStr">
        <is>
          <t>MOD-039</t>
        </is>
      </c>
      <c r="D170" s="5" t="inlineStr">
        <is>
          <t>js/sanctuary/SanctuaryTipis.js</t>
        </is>
      </c>
      <c r="E170" s="5" t="inlineStr">
        <is>
          <t>window.__sanctuaryTipi4PlatMesh</t>
        </is>
      </c>
      <c r="F170" s="5" t="inlineStr"/>
      <c r="G170" s="5" t="inlineStr">
        <is>
          <t>Live</t>
        </is>
      </c>
    </row>
    <row r="171">
      <c r="A171" s="5" t="inlineStr">
        <is>
          <t>EDG-0167</t>
        </is>
      </c>
      <c r="B171" s="5" t="inlineStr">
        <is>
          <t>global-write</t>
        </is>
      </c>
      <c r="C171" s="5" t="inlineStr">
        <is>
          <t>MOD-039</t>
        </is>
      </c>
      <c r="D171" s="5" t="inlineStr">
        <is>
          <t>js/sanctuary/SanctuaryTipis.js</t>
        </is>
      </c>
      <c r="E171" s="5" t="inlineStr">
        <is>
          <t>window.__sanctuaryTipi4Yaw</t>
        </is>
      </c>
      <c r="F171" s="5" t="inlineStr"/>
      <c r="G171" s="5" t="inlineStr">
        <is>
          <t>Live</t>
        </is>
      </c>
    </row>
    <row r="172">
      <c r="A172" s="5" t="inlineStr">
        <is>
          <t>EDG-0168</t>
        </is>
      </c>
      <c r="B172" s="5" t="inlineStr">
        <is>
          <t>global-write</t>
        </is>
      </c>
      <c r="C172" s="5" t="inlineStr">
        <is>
          <t>MOD-039</t>
        </is>
      </c>
      <c r="D172" s="5" t="inlineStr">
        <is>
          <t>js/sanctuary/SanctuaryTipis.js</t>
        </is>
      </c>
      <c r="E172" s="5" t="inlineStr">
        <is>
          <t>window.sanctuaryMoveTipi</t>
        </is>
      </c>
      <c r="F172" s="5" t="inlineStr"/>
      <c r="G172" s="5" t="inlineStr">
        <is>
          <t>Live</t>
        </is>
      </c>
    </row>
    <row r="173">
      <c r="A173" s="5" t="inlineStr">
        <is>
          <t>EDG-0169</t>
        </is>
      </c>
      <c r="B173" s="5" t="inlineStr">
        <is>
          <t>asset</t>
        </is>
      </c>
      <c r="C173" s="5" t="inlineStr">
        <is>
          <t>MOD-039</t>
        </is>
      </c>
      <c r="D173" s="5" t="inlineStr">
        <is>
          <t>js/sanctuary/SanctuaryTipis.js</t>
        </is>
      </c>
      <c r="E173" s="5" t="inlineStr">
        <is>
          <t>Assets/Tipi.yellowbutterfly/tipi.yellowbutterfly.lite.glb</t>
        </is>
      </c>
      <c r="F173" s="5" t="inlineStr"/>
      <c r="G173" s="5" t="inlineStr">
        <is>
          <t>Live</t>
        </is>
      </c>
    </row>
    <row r="174">
      <c r="A174" s="5" t="inlineStr">
        <is>
          <t>EDG-0170</t>
        </is>
      </c>
      <c r="B174" s="5" t="inlineStr">
        <is>
          <t>import</t>
        </is>
      </c>
      <c r="C174" s="5" t="inlineStr">
        <is>
          <t>MOD-040</t>
        </is>
      </c>
      <c r="D174" s="5" t="inlineStr">
        <is>
          <t>js/sanctuary/SanctuaryToolPalette.js</t>
        </is>
      </c>
      <c r="E174" s="5" t="inlineStr">
        <is>
          <t>MOD-098</t>
        </is>
      </c>
      <c r="F174" s="5" t="inlineStr">
        <is>
          <t>SimulationController.js</t>
        </is>
      </c>
      <c r="G174" s="5" t="inlineStr">
        <is>
          <t>Live</t>
        </is>
      </c>
    </row>
    <row r="175">
      <c r="A175" s="5" t="inlineStr">
        <is>
          <t>EDG-0171</t>
        </is>
      </c>
      <c r="B175" s="5" t="inlineStr">
        <is>
          <t>global-write</t>
        </is>
      </c>
      <c r="C175" s="5" t="inlineStr">
        <is>
          <t>MOD-040</t>
        </is>
      </c>
      <c r="D175" s="5" t="inlineStr">
        <is>
          <t>js/sanctuary/SanctuaryToolPalette.js</t>
        </is>
      </c>
      <c r="E175" s="5" t="inlineStr">
        <is>
          <t>window.__sanctuaryMapType</t>
        </is>
      </c>
      <c r="F175" s="5" t="inlineStr"/>
      <c r="G175" s="5" t="inlineStr">
        <is>
          <t>Live</t>
        </is>
      </c>
    </row>
    <row r="176">
      <c r="A176" s="5" t="inlineStr">
        <is>
          <t>EDG-0172</t>
        </is>
      </c>
      <c r="B176" s="5" t="inlineStr">
        <is>
          <t>global-write</t>
        </is>
      </c>
      <c r="C176" s="5" t="inlineStr">
        <is>
          <t>MOD-040</t>
        </is>
      </c>
      <c r="D176" s="5" t="inlineStr">
        <is>
          <t>js/sanctuary/SanctuaryToolPalette.js</t>
        </is>
      </c>
      <c r="E176" s="5" t="inlineStr">
        <is>
          <t>window.__sanctuaryMoldTool</t>
        </is>
      </c>
      <c r="F176" s="5" t="inlineStr"/>
      <c r="G176" s="5" t="inlineStr">
        <is>
          <t>Live</t>
        </is>
      </c>
    </row>
    <row r="177">
      <c r="A177" s="5" t="inlineStr">
        <is>
          <t>EDG-0173</t>
        </is>
      </c>
      <c r="B177" s="5" t="inlineStr">
        <is>
          <t>import</t>
        </is>
      </c>
      <c r="C177" s="5" t="inlineStr">
        <is>
          <t>MOD-041</t>
        </is>
      </c>
      <c r="D177" s="5" t="inlineStr">
        <is>
          <t>js/sanctuary/SanctuaryTravelDisc.js</t>
        </is>
      </c>
      <c r="E177" s="5" t="inlineStr">
        <is>
          <t>MOD-098</t>
        </is>
      </c>
      <c r="F177" s="5" t="inlineStr">
        <is>
          <t>SimulationController.js</t>
        </is>
      </c>
      <c r="G177" s="5" t="inlineStr">
        <is>
          <t>Live</t>
        </is>
      </c>
    </row>
    <row r="178">
      <c r="A178" s="5" t="inlineStr">
        <is>
          <t>EDG-0174</t>
        </is>
      </c>
      <c r="B178" s="5" t="inlineStr">
        <is>
          <t>import</t>
        </is>
      </c>
      <c r="C178" s="5" t="inlineStr">
        <is>
          <t>MOD-041</t>
        </is>
      </c>
      <c r="D178" s="5" t="inlineStr">
        <is>
          <t>js/sanctuary/SanctuaryTravelDisc.js</t>
        </is>
      </c>
      <c r="E178" s="5" t="inlineStr">
        <is>
          <t>MOD-099</t>
        </is>
      </c>
      <c r="F178" s="5" t="inlineStr">
        <is>
          <t>TravelFloorCircleMaterials.js</t>
        </is>
      </c>
      <c r="G178" s="5" t="inlineStr">
        <is>
          <t>Live</t>
        </is>
      </c>
    </row>
    <row r="179">
      <c r="A179" s="5" t="inlineStr">
        <is>
          <t>EDG-0175</t>
        </is>
      </c>
      <c r="B179" s="5" t="inlineStr">
        <is>
          <t>import</t>
        </is>
      </c>
      <c r="C179" s="5" t="inlineStr">
        <is>
          <t>MOD-041</t>
        </is>
      </c>
      <c r="D179" s="5" t="inlineStr">
        <is>
          <t>js/sanctuary/SanctuaryTravelDisc.js</t>
        </is>
      </c>
      <c r="E179" s="5" t="inlineStr">
        <is>
          <t>MOD-103</t>
        </is>
      </c>
      <c r="F179" s="5" t="inlineStr">
        <is>
          <t>constants.js</t>
        </is>
      </c>
      <c r="G179" s="5" t="inlineStr">
        <is>
          <t>Live</t>
        </is>
      </c>
    </row>
    <row r="180">
      <c r="A180" s="5" t="inlineStr">
        <is>
          <t>EDG-0176</t>
        </is>
      </c>
      <c r="B180" s="5" t="inlineStr">
        <is>
          <t>import</t>
        </is>
      </c>
      <c r="C180" s="5" t="inlineStr">
        <is>
          <t>MOD-042</t>
        </is>
      </c>
      <c r="D180" s="5" t="inlineStr">
        <is>
          <t>js/sanctuary/SanctuaryVillagePad.js</t>
        </is>
      </c>
      <c r="E180" s="5" t="inlineStr">
        <is>
          <t>MOD-027</t>
        </is>
      </c>
      <c r="F180" s="5" t="inlineStr">
        <is>
          <t>SanctuaryGround.js</t>
        </is>
      </c>
      <c r="G180" s="5" t="inlineStr">
        <is>
          <t>Live</t>
        </is>
      </c>
    </row>
    <row r="181">
      <c r="A181" s="5" t="inlineStr">
        <is>
          <t>EDG-0177</t>
        </is>
      </c>
      <c r="B181" s="5" t="inlineStr">
        <is>
          <t>import</t>
        </is>
      </c>
      <c r="C181" s="5" t="inlineStr">
        <is>
          <t>MOD-042</t>
        </is>
      </c>
      <c r="D181" s="5" t="inlineStr">
        <is>
          <t>js/sanctuary/SanctuaryVillagePad.js</t>
        </is>
      </c>
      <c r="E181" s="5" t="inlineStr">
        <is>
          <t>MOD-098</t>
        </is>
      </c>
      <c r="F181" s="5" t="inlineStr">
        <is>
          <t>SimulationController.js</t>
        </is>
      </c>
      <c r="G181" s="5" t="inlineStr">
        <is>
          <t>Live</t>
        </is>
      </c>
    </row>
    <row r="182">
      <c r="A182" s="5" t="inlineStr">
        <is>
          <t>EDG-0178</t>
        </is>
      </c>
      <c r="B182" s="5" t="inlineStr">
        <is>
          <t>global-write</t>
        </is>
      </c>
      <c r="C182" s="5" t="inlineStr">
        <is>
          <t>MOD-042</t>
        </is>
      </c>
      <c r="D182" s="5" t="inlineStr">
        <is>
          <t>js/sanctuary/SanctuaryVillagePad.js</t>
        </is>
      </c>
      <c r="E182" s="5" t="inlineStr">
        <is>
          <t>window.__sanctuaryVillagePad</t>
        </is>
      </c>
      <c r="F182" s="5" t="inlineStr"/>
      <c r="G182" s="5" t="inlineStr">
        <is>
          <t>Live</t>
        </is>
      </c>
    </row>
    <row r="183">
      <c r="A183" s="5" t="inlineStr">
        <is>
          <t>EDG-0179</t>
        </is>
      </c>
      <c r="B183" s="5" t="inlineStr">
        <is>
          <t>import</t>
        </is>
      </c>
      <c r="C183" s="5" t="inlineStr">
        <is>
          <t>MOD-043</t>
        </is>
      </c>
      <c r="D183" s="5" t="inlineStr">
        <is>
          <t>js/sanctuary/SanctuaryWaterFootsteps.js</t>
        </is>
      </c>
      <c r="E183" s="5" t="inlineStr">
        <is>
          <t>MOD-027</t>
        </is>
      </c>
      <c r="F183" s="5" t="inlineStr">
        <is>
          <t>SanctuaryGround.js</t>
        </is>
      </c>
      <c r="G183" s="5" t="inlineStr">
        <is>
          <t>Live</t>
        </is>
      </c>
    </row>
    <row r="184">
      <c r="A184" s="5" t="inlineStr">
        <is>
          <t>EDG-0180</t>
        </is>
      </c>
      <c r="B184" s="5" t="inlineStr">
        <is>
          <t>import</t>
        </is>
      </c>
      <c r="C184" s="5" t="inlineStr">
        <is>
          <t>MOD-043</t>
        </is>
      </c>
      <c r="D184" s="5" t="inlineStr">
        <is>
          <t>js/sanctuary/SanctuaryWaterFootsteps.js</t>
        </is>
      </c>
      <c r="E184" s="5" t="inlineStr">
        <is>
          <t>MOD-098</t>
        </is>
      </c>
      <c r="F184" s="5" t="inlineStr">
        <is>
          <t>SimulationController.js</t>
        </is>
      </c>
      <c r="G184" s="5" t="inlineStr">
        <is>
          <t>Live</t>
        </is>
      </c>
    </row>
    <row r="185">
      <c r="A185" s="5" t="inlineStr">
        <is>
          <t>EDG-0181</t>
        </is>
      </c>
      <c r="B185" s="5" t="inlineStr">
        <is>
          <t>asset</t>
        </is>
      </c>
      <c r="C185" s="5" t="inlineStr">
        <is>
          <t>MOD-043</t>
        </is>
      </c>
      <c r="D185" s="5" t="inlineStr">
        <is>
          <t>js/sanctuary/SanctuaryWaterFootsteps.js</t>
        </is>
      </c>
      <c r="E185" s="5" t="inlineStr">
        <is>
          <t>Assets/sounds/avatar-walking.mp3</t>
        </is>
      </c>
      <c r="F185" s="5" t="inlineStr"/>
      <c r="G185" s="5" t="inlineStr">
        <is>
          <t>Live</t>
        </is>
      </c>
    </row>
    <row r="186">
      <c r="A186" s="5" t="inlineStr">
        <is>
          <t>EDG-0182</t>
        </is>
      </c>
      <c r="B186" s="5" t="inlineStr">
        <is>
          <t>asset</t>
        </is>
      </c>
      <c r="C186" s="5" t="inlineStr">
        <is>
          <t>MOD-043</t>
        </is>
      </c>
      <c r="D186" s="5" t="inlineStr">
        <is>
          <t>js/sanctuary/SanctuaryWaterFootsteps.js</t>
        </is>
      </c>
      <c r="E186" s="5" t="inlineStr">
        <is>
          <t>Assets/sounds/water-walking.mp3</t>
        </is>
      </c>
      <c r="F186" s="5" t="inlineStr"/>
      <c r="G186" s="5" t="inlineStr">
        <is>
          <t>Live</t>
        </is>
      </c>
    </row>
    <row r="187">
      <c r="A187" s="5" t="inlineStr">
        <is>
          <t>EDG-0183</t>
        </is>
      </c>
      <c r="B187" s="5" t="inlineStr">
        <is>
          <t>import</t>
        </is>
      </c>
      <c r="C187" s="5" t="inlineStr">
        <is>
          <t>MOD-044</t>
        </is>
      </c>
      <c r="D187" s="5" t="inlineStr">
        <is>
          <t>js/sanctuary/SanctuaryWeather.js</t>
        </is>
      </c>
      <c r="E187" s="5" t="inlineStr">
        <is>
          <t>MOD-098</t>
        </is>
      </c>
      <c r="F187" s="5" t="inlineStr">
        <is>
          <t>SimulationController.js</t>
        </is>
      </c>
      <c r="G187" s="5" t="inlineStr">
        <is>
          <t>Live</t>
        </is>
      </c>
    </row>
    <row r="188">
      <c r="A188" s="5" t="inlineStr">
        <is>
          <t>EDG-0184</t>
        </is>
      </c>
      <c r="B188" s="5" t="inlineStr">
        <is>
          <t>global-write</t>
        </is>
      </c>
      <c r="C188" s="5" t="inlineStr">
        <is>
          <t>MOD-045</t>
        </is>
      </c>
      <c r="D188" s="5" t="inlineStr">
        <is>
          <t>js/sanctuary/SanctuaryWelcomeGuide.js</t>
        </is>
      </c>
      <c r="E188" s="5" t="inlineStr">
        <is>
          <t>window.sanctuaryWelcome</t>
        </is>
      </c>
      <c r="F188" s="5" t="inlineStr"/>
      <c r="G188" s="5" t="inlineStr">
        <is>
          <t>Live</t>
        </is>
      </c>
    </row>
    <row r="189">
      <c r="A189" s="5" t="inlineStr">
        <is>
          <t>EDG-0185</t>
        </is>
      </c>
      <c r="B189" s="5" t="inlineStr">
        <is>
          <t>import</t>
        </is>
      </c>
      <c r="C189" s="5" t="inlineStr">
        <is>
          <t>MOD-046</t>
        </is>
      </c>
      <c r="D189" s="5" t="inlineStr">
        <is>
          <t>js/sanctuary/SanctuaryWorldPlayerShim.js</t>
        </is>
      </c>
      <c r="E189" s="5" t="inlineStr">
        <is>
          <t>MOD-061</t>
        </is>
      </c>
      <c r="F189" s="5" t="inlineStr">
        <is>
          <t>RuntimeServices.js</t>
        </is>
      </c>
      <c r="G189" s="5" t="inlineStr">
        <is>
          <t>Live</t>
        </is>
      </c>
    </row>
    <row r="190">
      <c r="A190" s="5" t="inlineStr">
        <is>
          <t>EDG-0186</t>
        </is>
      </c>
      <c r="B190" s="5" t="inlineStr">
        <is>
          <t>global-write</t>
        </is>
      </c>
      <c r="C190" s="5" t="inlineStr">
        <is>
          <t>MOD-046</t>
        </is>
      </c>
      <c r="D190" s="5" t="inlineStr">
        <is>
          <t>js/sanctuary/SanctuaryWorldPlayerShim.js</t>
        </is>
      </c>
      <c r="E190" s="5" t="inlineStr">
        <is>
          <t>window.WorldPhysics</t>
        </is>
      </c>
      <c r="F190" s="5" t="inlineStr"/>
      <c r="G190" s="5" t="inlineStr">
        <is>
          <t>Live</t>
        </is>
      </c>
    </row>
    <row r="191">
      <c r="A191" s="5" t="inlineStr">
        <is>
          <t>EDG-0187</t>
        </is>
      </c>
      <c r="B191" s="5" t="inlineStr">
        <is>
          <t>global-write</t>
        </is>
      </c>
      <c r="C191" s="5" t="inlineStr">
        <is>
          <t>MOD-046</t>
        </is>
      </c>
      <c r="D191" s="5" t="inlineStr">
        <is>
          <t>js/sanctuary/SanctuaryWorldPlayerShim.js</t>
        </is>
      </c>
      <c r="E191" s="5" t="inlineStr">
        <is>
          <t>window.WorldPlayer</t>
        </is>
      </c>
      <c r="F191" s="5" t="inlineStr"/>
      <c r="G191" s="5" t="inlineStr">
        <is>
          <t>Live</t>
        </is>
      </c>
    </row>
    <row r="192">
      <c r="A192" s="5" t="inlineStr">
        <is>
          <t>EDG-0188</t>
        </is>
      </c>
      <c r="B192" s="5" t="inlineStr">
        <is>
          <t>service-register</t>
        </is>
      </c>
      <c r="C192" s="5" t="inlineStr">
        <is>
          <t>MOD-046</t>
        </is>
      </c>
      <c r="D192" s="5" t="inlineStr">
        <is>
          <t>js/sanctuary/SanctuaryWorldPlayerShim.js</t>
        </is>
      </c>
      <c r="E192" s="5" t="inlineStr">
        <is>
          <t>service:WorldPlayer</t>
        </is>
      </c>
      <c r="F192" s="5" t="inlineStr"/>
      <c r="G192" s="5" t="inlineStr">
        <is>
          <t>Live</t>
        </is>
      </c>
    </row>
    <row r="193">
      <c r="A193" s="5" t="inlineStr">
        <is>
          <t>EDG-0189</t>
        </is>
      </c>
      <c r="B193" s="5" t="inlineStr">
        <is>
          <t>service-use</t>
        </is>
      </c>
      <c r="C193" s="5" t="inlineStr">
        <is>
          <t>MOD-046</t>
        </is>
      </c>
      <c r="D193" s="5" t="inlineStr">
        <is>
          <t>js/sanctuary/SanctuaryWorldPlayerShim.js</t>
        </is>
      </c>
      <c r="E193" s="5" t="inlineStr">
        <is>
          <t>service:WorldPlayer</t>
        </is>
      </c>
      <c r="F193" s="5" t="inlineStr"/>
      <c r="G193" s="5" t="inlineStr">
        <is>
          <t>Live</t>
        </is>
      </c>
    </row>
    <row r="194">
      <c r="A194" s="5" t="inlineStr">
        <is>
          <t>EDG-0190</t>
        </is>
      </c>
      <c r="B194" s="5" t="inlineStr">
        <is>
          <t>import</t>
        </is>
      </c>
      <c r="C194" s="5" t="inlineStr">
        <is>
          <t>MOD-047</t>
        </is>
      </c>
      <c r="D194" s="5" t="inlineStr">
        <is>
          <t>js/sanctuary/SanctuaryWorldTemplate.js</t>
        </is>
      </c>
      <c r="E194" s="5" t="inlineStr">
        <is>
          <t>MOD-027</t>
        </is>
      </c>
      <c r="F194" s="5" t="inlineStr">
        <is>
          <t>SanctuaryGround.js</t>
        </is>
      </c>
      <c r="G194" s="5" t="inlineStr">
        <is>
          <t>Legacy/unused</t>
        </is>
      </c>
    </row>
    <row r="195">
      <c r="A195" s="5" t="inlineStr">
        <is>
          <t>EDG-0191</t>
        </is>
      </c>
      <c r="B195" s="5" t="inlineStr">
        <is>
          <t>import</t>
        </is>
      </c>
      <c r="C195" s="5" t="inlineStr">
        <is>
          <t>MOD-047</t>
        </is>
      </c>
      <c r="D195" s="5" t="inlineStr">
        <is>
          <t>js/sanctuary/SanctuaryWorldTemplate.js</t>
        </is>
      </c>
      <c r="E195" s="5" t="inlineStr">
        <is>
          <t>MOD-093</t>
        </is>
      </c>
      <c r="F195" s="5" t="inlineStr">
        <is>
          <t>InteractionBus.js</t>
        </is>
      </c>
      <c r="G195" s="5" t="inlineStr">
        <is>
          <t>Legacy/unused</t>
        </is>
      </c>
    </row>
    <row r="196">
      <c r="A196" s="5" t="inlineStr">
        <is>
          <t>EDG-0192</t>
        </is>
      </c>
      <c r="B196" s="5" t="inlineStr">
        <is>
          <t>import</t>
        </is>
      </c>
      <c r="C196" s="5" t="inlineStr">
        <is>
          <t>MOD-047</t>
        </is>
      </c>
      <c r="D196" s="5" t="inlineStr">
        <is>
          <t>js/sanctuary/SanctuaryWorldTemplate.js</t>
        </is>
      </c>
      <c r="E196" s="5" t="inlineStr">
        <is>
          <t>MOD-098</t>
        </is>
      </c>
      <c r="F196" s="5" t="inlineStr">
        <is>
          <t>SimulationController.js</t>
        </is>
      </c>
      <c r="G196" s="5" t="inlineStr">
        <is>
          <t>Legacy/unused</t>
        </is>
      </c>
    </row>
    <row r="197">
      <c r="A197" s="5" t="inlineStr">
        <is>
          <t>EDG-0193</t>
        </is>
      </c>
      <c r="B197" s="5" t="inlineStr">
        <is>
          <t>import</t>
        </is>
      </c>
      <c r="C197" s="5" t="inlineStr">
        <is>
          <t>MOD-047</t>
        </is>
      </c>
      <c r="D197" s="5" t="inlineStr">
        <is>
          <t>js/sanctuary/SanctuaryWorldTemplate.js</t>
        </is>
      </c>
      <c r="E197" s="5" t="inlineStr">
        <is>
          <t>MOD-100</t>
        </is>
      </c>
      <c r="F197" s="5" t="inlineStr">
        <is>
          <t>anuEvents.js</t>
        </is>
      </c>
      <c r="G197" s="5" t="inlineStr">
        <is>
          <t>Legacy/unused</t>
        </is>
      </c>
    </row>
    <row r="198">
      <c r="A198" s="5" t="inlineStr">
        <is>
          <t>EDG-0194</t>
        </is>
      </c>
      <c r="B198" s="5" t="inlineStr">
        <is>
          <t>anu-event-dispatch</t>
        </is>
      </c>
      <c r="C198" s="5" t="inlineStr">
        <is>
          <t>MOD-047</t>
        </is>
      </c>
      <c r="D198" s="5" t="inlineStr">
        <is>
          <t>js/sanctuary/SanctuaryWorldTemplate.js</t>
        </is>
      </c>
      <c r="E198" s="5" t="inlineStr">
        <is>
          <t>ANU_EVENTS.SOMETHING</t>
        </is>
      </c>
      <c r="F198" s="5" t="inlineStr"/>
      <c r="G198" s="5" t="inlineStr">
        <is>
          <t>Legacy/unused</t>
        </is>
      </c>
    </row>
    <row r="199">
      <c r="A199" s="5" t="inlineStr">
        <is>
          <t>EDG-0195</t>
        </is>
      </c>
      <c r="B199" s="5" t="inlineStr">
        <is>
          <t>postMessage</t>
        </is>
      </c>
      <c r="C199" s="5" t="inlineStr">
        <is>
          <t>MOD-047</t>
        </is>
      </c>
      <c r="D199" s="5" t="inlineStr">
        <is>
          <t>js/sanctuary/SanctuaryWorldTemplate.js</t>
        </is>
      </c>
      <c r="E199" s="5" t="inlineStr">
        <is>
          <t>msg:MY_KID_WORLD_HELLO</t>
        </is>
      </c>
      <c r="F199" s="5" t="inlineStr"/>
      <c r="G199" s="5" t="inlineStr">
        <is>
          <t>Legacy/unused</t>
        </is>
      </c>
    </row>
    <row r="200">
      <c r="A200" s="5" t="inlineStr">
        <is>
          <t>EDG-0196</t>
        </is>
      </c>
      <c r="B200" s="5" t="inlineStr">
        <is>
          <t>postMessage</t>
        </is>
      </c>
      <c r="C200" s="5" t="inlineStr">
        <is>
          <t>MOD-047</t>
        </is>
      </c>
      <c r="D200" s="5" t="inlineStr">
        <is>
          <t>js/sanctuary/SanctuaryWorldTemplate.js</t>
        </is>
      </c>
      <c r="E200" s="5" t="inlineStr">
        <is>
          <t>msg:YOUR_EVENT</t>
        </is>
      </c>
      <c r="F200" s="5" t="inlineStr"/>
      <c r="G200" s="5" t="inlineStr">
        <is>
          <t>Legacy/unused</t>
        </is>
      </c>
    </row>
    <row r="201">
      <c r="A201" s="5" t="inlineStr">
        <is>
          <t>EDG-0197</t>
        </is>
      </c>
      <c r="B201" s="5" t="inlineStr">
        <is>
          <t>global-write</t>
        </is>
      </c>
      <c r="C201" s="5" t="inlineStr">
        <is>
          <t>MOD-048</t>
        </is>
      </c>
      <c r="D201" s="5" t="inlineStr">
        <is>
          <t>js/sanctuary/SanctuaryZoom.js</t>
        </is>
      </c>
      <c r="E201" s="5" t="inlineStr">
        <is>
          <t>window.__sanctuaryTopDownHeight</t>
        </is>
      </c>
      <c r="F201" s="5" t="inlineStr"/>
      <c r="G201" s="5" t="inlineStr">
        <is>
          <t>Live</t>
        </is>
      </c>
    </row>
    <row r="202">
      <c r="A202" s="5" t="inlineStr">
        <is>
          <t>EDG-0198</t>
        </is>
      </c>
      <c r="B202" s="5" t="inlineStr">
        <is>
          <t>global-write</t>
        </is>
      </c>
      <c r="C202" s="5" t="inlineStr">
        <is>
          <t>MOD-048</t>
        </is>
      </c>
      <c r="D202" s="5" t="inlineStr">
        <is>
          <t>js/sanctuary/SanctuaryZoom.js</t>
        </is>
      </c>
      <c r="E202" s="5" t="inlineStr">
        <is>
          <t>window.__sanctuaryZoomFactor</t>
        </is>
      </c>
      <c r="F202" s="5" t="inlineStr"/>
      <c r="G202" s="5" t="inlineStr">
        <is>
          <t>Live</t>
        </is>
      </c>
    </row>
    <row r="203">
      <c r="A203" s="5" t="inlineStr">
        <is>
          <t>EDG-0199</t>
        </is>
      </c>
      <c r="B203" s="5" t="inlineStr">
        <is>
          <t>import</t>
        </is>
      </c>
      <c r="C203" s="5" t="inlineStr">
        <is>
          <t>MOD-049</t>
        </is>
      </c>
      <c r="D203" s="5" t="inlineStr">
        <is>
          <t>js/v2/AnuModule.js</t>
        </is>
      </c>
      <c r="E203" s="5" t="inlineStr">
        <is>
          <t>MOD-061</t>
        </is>
      </c>
      <c r="F203" s="5" t="inlineStr">
        <is>
          <t>RuntimeServices.js</t>
        </is>
      </c>
      <c r="G203" s="5" t="inlineStr">
        <is>
          <t>Live</t>
        </is>
      </c>
    </row>
    <row r="204">
      <c r="A204" s="5" t="inlineStr">
        <is>
          <t>EDG-0200</t>
        </is>
      </c>
      <c r="B204" s="5" t="inlineStr">
        <is>
          <t>import</t>
        </is>
      </c>
      <c r="C204" s="5" t="inlineStr">
        <is>
          <t>MOD-049</t>
        </is>
      </c>
      <c r="D204" s="5" t="inlineStr">
        <is>
          <t>js/v2/AnuModule.js</t>
        </is>
      </c>
      <c r="E204" s="5" t="inlineStr">
        <is>
          <t>MOD-100</t>
        </is>
      </c>
      <c r="F204" s="5" t="inlineStr">
        <is>
          <t>anuEvents.js</t>
        </is>
      </c>
      <c r="G204" s="5" t="inlineStr">
        <is>
          <t>Live</t>
        </is>
      </c>
    </row>
    <row r="205">
      <c r="A205" s="5" t="inlineStr">
        <is>
          <t>EDG-0201</t>
        </is>
      </c>
      <c r="B205" s="5" t="inlineStr">
        <is>
          <t>import</t>
        </is>
      </c>
      <c r="C205" s="5" t="inlineStr">
        <is>
          <t>MOD-049</t>
        </is>
      </c>
      <c r="D205" s="5" t="inlineStr">
        <is>
          <t>js/v2/AnuModule.js</t>
        </is>
      </c>
      <c r="E205" s="5" t="inlineStr">
        <is>
          <t>MOD-101</t>
        </is>
      </c>
      <c r="F205" s="5" t="inlineStr">
        <is>
          <t>index.js</t>
        </is>
      </c>
      <c r="G205" s="5" t="inlineStr">
        <is>
          <t>Live</t>
        </is>
      </c>
    </row>
    <row r="206">
      <c r="A206" s="5" t="inlineStr">
        <is>
          <t>EDG-0202</t>
        </is>
      </c>
      <c r="B206" s="5" t="inlineStr">
        <is>
          <t>import</t>
        </is>
      </c>
      <c r="C206" s="5" t="inlineStr">
        <is>
          <t>MOD-049</t>
        </is>
      </c>
      <c r="D206" s="5" t="inlineStr">
        <is>
          <t>js/v2/AnuModule.js</t>
        </is>
      </c>
      <c r="E206" s="5" t="inlineStr">
        <is>
          <t>MOD-102</t>
        </is>
      </c>
      <c r="F206" s="5" t="inlineStr">
        <is>
          <t>pipelineMemory.js</t>
        </is>
      </c>
      <c r="G206" s="5" t="inlineStr">
        <is>
          <t>Live</t>
        </is>
      </c>
    </row>
    <row r="207">
      <c r="A207" s="5" t="inlineStr">
        <is>
          <t>EDG-0203</t>
        </is>
      </c>
      <c r="B207" s="5" t="inlineStr">
        <is>
          <t>import</t>
        </is>
      </c>
      <c r="C207" s="5" t="inlineStr">
        <is>
          <t>MOD-049</t>
        </is>
      </c>
      <c r="D207" s="5" t="inlineStr">
        <is>
          <t>js/v2/AnuModule.js</t>
        </is>
      </c>
      <c r="E207" s="5" t="inlineStr">
        <is>
          <t>MOD-103</t>
        </is>
      </c>
      <c r="F207" s="5" t="inlineStr">
        <is>
          <t>constants.js</t>
        </is>
      </c>
      <c r="G207" s="5" t="inlineStr">
        <is>
          <t>Live</t>
        </is>
      </c>
    </row>
    <row r="208">
      <c r="A208" s="5" t="inlineStr">
        <is>
          <t>EDG-0204</t>
        </is>
      </c>
      <c r="B208" s="5" t="inlineStr">
        <is>
          <t>global-write</t>
        </is>
      </c>
      <c r="C208" s="5" t="inlineStr">
        <is>
          <t>MOD-049</t>
        </is>
      </c>
      <c r="D208" s="5" t="inlineStr">
        <is>
          <t>js/v2/AnuModule.js</t>
        </is>
      </c>
      <c r="E208" s="5" t="inlineStr">
        <is>
          <t>window.AnuUniverse</t>
        </is>
      </c>
      <c r="F208" s="5" t="inlineStr"/>
      <c r="G208" s="5" t="inlineStr">
        <is>
          <t>Live</t>
        </is>
      </c>
    </row>
    <row r="209">
      <c r="A209" s="5" t="inlineStr">
        <is>
          <t>EDG-0205</t>
        </is>
      </c>
      <c r="B209" s="5" t="inlineStr">
        <is>
          <t>anu-event-dispatch</t>
        </is>
      </c>
      <c r="C209" s="5" t="inlineStr">
        <is>
          <t>MOD-049</t>
        </is>
      </c>
      <c r="D209" s="5" t="inlineStr">
        <is>
          <t>js/v2/AnuModule.js</t>
        </is>
      </c>
      <c r="E209" s="5" t="inlineStr">
        <is>
          <t>ANU_EVENTS.FUZZY_PIPELINE_SENSOR</t>
        </is>
      </c>
      <c r="F209" s="5" t="inlineStr"/>
      <c r="G209" s="5" t="inlineStr">
        <is>
          <t>Live</t>
        </is>
      </c>
    </row>
    <row r="210">
      <c r="A210" s="5" t="inlineStr">
        <is>
          <t>EDG-0206</t>
        </is>
      </c>
      <c r="B210" s="5" t="inlineStr">
        <is>
          <t>anu-event-dispatch</t>
        </is>
      </c>
      <c r="C210" s="5" t="inlineStr">
        <is>
          <t>MOD-049</t>
        </is>
      </c>
      <c r="D210" s="5" t="inlineStr">
        <is>
          <t>js/v2/AnuModule.js</t>
        </is>
      </c>
      <c r="E210" s="5" t="inlineStr">
        <is>
          <t>ANU_EVENTS.GOVERNANCE_SNAPSHOT</t>
        </is>
      </c>
      <c r="F210" s="5" t="inlineStr"/>
      <c r="G210" s="5" t="inlineStr">
        <is>
          <t>Live</t>
        </is>
      </c>
    </row>
    <row r="211">
      <c r="A211" s="5" t="inlineStr">
        <is>
          <t>EDG-0207</t>
        </is>
      </c>
      <c r="B211" s="5" t="inlineStr">
        <is>
          <t>anu-event-dispatch</t>
        </is>
      </c>
      <c r="C211" s="5" t="inlineStr">
        <is>
          <t>MOD-049</t>
        </is>
      </c>
      <c r="D211" s="5" t="inlineStr">
        <is>
          <t>js/v2/AnuModule.js</t>
        </is>
      </c>
      <c r="E211" s="5" t="inlineStr">
        <is>
          <t>ANU_EVENTS.WORLD_SENSORIUM</t>
        </is>
      </c>
      <c r="F211" s="5" t="inlineStr"/>
      <c r="G211" s="5" t="inlineStr">
        <is>
          <t>Live</t>
        </is>
      </c>
    </row>
    <row r="212">
      <c r="A212" s="5" t="inlineStr">
        <is>
          <t>EDG-0208</t>
        </is>
      </c>
      <c r="B212" s="5" t="inlineStr">
        <is>
          <t>import</t>
        </is>
      </c>
      <c r="C212" s="5" t="inlineStr">
        <is>
          <t>MOD-050</t>
        </is>
      </c>
      <c r="D212" s="5" t="inlineStr">
        <is>
          <t>js/v2/BuildMode.js</t>
        </is>
      </c>
      <c r="E212" s="5" t="inlineStr">
        <is>
          <t>MOD-057</t>
        </is>
      </c>
      <c r="F212" s="5" t="inlineStr">
        <is>
          <t>MapsConfig.js</t>
        </is>
      </c>
      <c r="G212" s="5" t="inlineStr">
        <is>
          <t>Legacy/unused</t>
        </is>
      </c>
    </row>
    <row r="213">
      <c r="A213" s="5" t="inlineStr">
        <is>
          <t>EDG-0209</t>
        </is>
      </c>
      <c r="B213" s="5" t="inlineStr">
        <is>
          <t>import</t>
        </is>
      </c>
      <c r="C213" s="5" t="inlineStr">
        <is>
          <t>MOD-050</t>
        </is>
      </c>
      <c r="D213" s="5" t="inlineStr">
        <is>
          <t>js/v2/BuildMode.js</t>
        </is>
      </c>
      <c r="E213" s="5" t="inlineStr">
        <is>
          <t>MOD-061</t>
        </is>
      </c>
      <c r="F213" s="5" t="inlineStr">
        <is>
          <t>RuntimeServices.js</t>
        </is>
      </c>
      <c r="G213" s="5" t="inlineStr">
        <is>
          <t>Legacy/unused</t>
        </is>
      </c>
    </row>
    <row r="214">
      <c r="A214" s="5" t="inlineStr">
        <is>
          <t>EDG-0210</t>
        </is>
      </c>
      <c r="B214" s="5" t="inlineStr">
        <is>
          <t>import</t>
        </is>
      </c>
      <c r="C214" s="5" t="inlineStr">
        <is>
          <t>MOD-050</t>
        </is>
      </c>
      <c r="D214" s="5" t="inlineStr">
        <is>
          <t>js/v2/BuildMode.js</t>
        </is>
      </c>
      <c r="E214" s="5" t="inlineStr">
        <is>
          <t>MOD-074</t>
        </is>
      </c>
      <c r="F214" s="5" t="inlineStr">
        <is>
          <t>WorldMossyRock.js</t>
        </is>
      </c>
      <c r="G214" s="5" t="inlineStr">
        <is>
          <t>Legacy/unused</t>
        </is>
      </c>
    </row>
    <row r="215">
      <c r="A215" s="5" t="inlineStr">
        <is>
          <t>EDG-0211</t>
        </is>
      </c>
      <c r="B215" s="5" t="inlineStr">
        <is>
          <t>import</t>
        </is>
      </c>
      <c r="C215" s="5" t="inlineStr">
        <is>
          <t>MOD-050</t>
        </is>
      </c>
      <c r="D215" s="5" t="inlineStr">
        <is>
          <t>js/v2/BuildMode.js</t>
        </is>
      </c>
      <c r="E215" s="5" t="inlineStr">
        <is>
          <t>MOD-098</t>
        </is>
      </c>
      <c r="F215" s="5" t="inlineStr">
        <is>
          <t>SimulationController.js</t>
        </is>
      </c>
      <c r="G215" s="5" t="inlineStr">
        <is>
          <t>Legacy/unused</t>
        </is>
      </c>
    </row>
    <row r="216">
      <c r="A216" s="5" t="inlineStr">
        <is>
          <t>EDG-0212</t>
        </is>
      </c>
      <c r="B216" s="5" t="inlineStr">
        <is>
          <t>import</t>
        </is>
      </c>
      <c r="C216" s="5" t="inlineStr">
        <is>
          <t>MOD-050</t>
        </is>
      </c>
      <c r="D216" s="5" t="inlineStr">
        <is>
          <t>js/v2/BuildMode.js</t>
        </is>
      </c>
      <c r="E216" s="5" t="inlineStr">
        <is>
          <t>MOD-104</t>
        </is>
      </c>
      <c r="F216" s="5" t="inlineStr">
        <is>
          <t>gltfLoaderSetup.js</t>
        </is>
      </c>
      <c r="G216" s="5" t="inlineStr">
        <is>
          <t>Legacy/unused</t>
        </is>
      </c>
    </row>
    <row r="217">
      <c r="A217" s="5" t="inlineStr">
        <is>
          <t>EDG-0213</t>
        </is>
      </c>
      <c r="B217" s="5" t="inlineStr">
        <is>
          <t>global-write</t>
        </is>
      </c>
      <c r="C217" s="5" t="inlineStr">
        <is>
          <t>MOD-050</t>
        </is>
      </c>
      <c r="D217" s="5" t="inlineStr">
        <is>
          <t>js/v2/BuildMode.js</t>
        </is>
      </c>
      <c r="E217" s="5" t="inlineStr">
        <is>
          <t>window._v2BuildClear</t>
        </is>
      </c>
      <c r="F217" s="5" t="inlineStr"/>
      <c r="G217" s="5" t="inlineStr">
        <is>
          <t>Legacy/unused</t>
        </is>
      </c>
    </row>
    <row r="218">
      <c r="A218" s="5" t="inlineStr">
        <is>
          <t>EDG-0214</t>
        </is>
      </c>
      <c r="B218" s="5" t="inlineStr">
        <is>
          <t>asset</t>
        </is>
      </c>
      <c r="C218" s="5" t="inlineStr">
        <is>
          <t>MOD-050</t>
        </is>
      </c>
      <c r="D218" s="5" t="inlineStr">
        <is>
          <t>js/v2/BuildMode.js</t>
        </is>
      </c>
      <c r="E218" s="5" t="inlineStr">
        <is>
          <t>Assets/tree.glb</t>
        </is>
      </c>
      <c r="F218" s="5" t="inlineStr"/>
      <c r="G218" s="5" t="inlineStr">
        <is>
          <t>Legacy/unused</t>
        </is>
      </c>
    </row>
    <row r="219">
      <c r="A219" s="5" t="inlineStr">
        <is>
          <t>EDG-0215</t>
        </is>
      </c>
      <c r="B219" s="5" t="inlineStr">
        <is>
          <t>import</t>
        </is>
      </c>
      <c r="C219" s="5" t="inlineStr">
        <is>
          <t>MOD-052</t>
        </is>
      </c>
      <c r="D219" s="5" t="inlineStr">
        <is>
          <t>js/v2/ClickToMoveMarker.js</t>
        </is>
      </c>
      <c r="E219" s="5" t="inlineStr">
        <is>
          <t>MOD-061</t>
        </is>
      </c>
      <c r="F219" s="5" t="inlineStr">
        <is>
          <t>RuntimeServices.js</t>
        </is>
      </c>
      <c r="G219" s="5" t="inlineStr">
        <is>
          <t>Legacy/unused</t>
        </is>
      </c>
    </row>
    <row r="220">
      <c r="A220" s="5" t="inlineStr">
        <is>
          <t>EDG-0216</t>
        </is>
      </c>
      <c r="B220" s="5" t="inlineStr">
        <is>
          <t>import</t>
        </is>
      </c>
      <c r="C220" s="5" t="inlineStr">
        <is>
          <t>MOD-052</t>
        </is>
      </c>
      <c r="D220" s="5" t="inlineStr">
        <is>
          <t>js/v2/ClickToMoveMarker.js</t>
        </is>
      </c>
      <c r="E220" s="5" t="inlineStr">
        <is>
          <t>MOD-098</t>
        </is>
      </c>
      <c r="F220" s="5" t="inlineStr">
        <is>
          <t>SimulationController.js</t>
        </is>
      </c>
      <c r="G220" s="5" t="inlineStr">
        <is>
          <t>Legacy/unused</t>
        </is>
      </c>
    </row>
    <row r="221">
      <c r="A221" s="5" t="inlineStr">
        <is>
          <t>EDG-0217</t>
        </is>
      </c>
      <c r="B221" s="5" t="inlineStr">
        <is>
          <t>service-use</t>
        </is>
      </c>
      <c r="C221" s="5" t="inlineStr">
        <is>
          <t>MOD-052</t>
        </is>
      </c>
      <c r="D221" s="5" t="inlineStr">
        <is>
          <t>js/v2/ClickToMoveMarker.js</t>
        </is>
      </c>
      <c r="E221" s="5" t="inlineStr">
        <is>
          <t>service:WorldPhysics</t>
        </is>
      </c>
      <c r="F221" s="5" t="inlineStr"/>
      <c r="G221" s="5" t="inlineStr">
        <is>
          <t>Legacy/unused</t>
        </is>
      </c>
    </row>
    <row r="222">
      <c r="A222" s="5" t="inlineStr">
        <is>
          <t>EDG-0218</t>
        </is>
      </c>
      <c r="B222" s="5" t="inlineStr">
        <is>
          <t>import</t>
        </is>
      </c>
      <c r="C222" s="5" t="inlineStr">
        <is>
          <t>MOD-053</t>
        </is>
      </c>
      <c r="D222" s="5" t="inlineStr">
        <is>
          <t>js/v2/ConfettiBurst.js</t>
        </is>
      </c>
      <c r="E222" s="5" t="inlineStr">
        <is>
          <t>MOD-098</t>
        </is>
      </c>
      <c r="F222" s="5" t="inlineStr">
        <is>
          <t>SimulationController.js</t>
        </is>
      </c>
      <c r="G222" s="5" t="inlineStr">
        <is>
          <t>Legacy/unused</t>
        </is>
      </c>
    </row>
    <row r="223">
      <c r="A223" s="5" t="inlineStr">
        <is>
          <t>EDG-0219</t>
        </is>
      </c>
      <c r="B223" s="5" t="inlineStr">
        <is>
          <t>import</t>
        </is>
      </c>
      <c r="C223" s="5" t="inlineStr">
        <is>
          <t>MOD-054</t>
        </is>
      </c>
      <c r="D223" s="5" t="inlineStr">
        <is>
          <t>js/v2/Fauna.js</t>
        </is>
      </c>
      <c r="E223" s="5" t="inlineStr">
        <is>
          <t>MOD-061</t>
        </is>
      </c>
      <c r="F223" s="5" t="inlineStr">
        <is>
          <t>RuntimeServices.js</t>
        </is>
      </c>
      <c r="G223" s="5" t="inlineStr">
        <is>
          <t>Legacy/unused</t>
        </is>
      </c>
    </row>
    <row r="224">
      <c r="A224" s="5" t="inlineStr">
        <is>
          <t>EDG-0220</t>
        </is>
      </c>
      <c r="B224" s="5" t="inlineStr">
        <is>
          <t>import</t>
        </is>
      </c>
      <c r="C224" s="5" t="inlineStr">
        <is>
          <t>MOD-054</t>
        </is>
      </c>
      <c r="D224" s="5" t="inlineStr">
        <is>
          <t>js/v2/Fauna.js</t>
        </is>
      </c>
      <c r="E224" s="5" t="inlineStr">
        <is>
          <t>MOD-083</t>
        </is>
      </c>
      <c r="F224" s="5" t="inlineStr">
        <is>
          <t>WorldTerrain.js</t>
        </is>
      </c>
      <c r="G224" s="5" t="inlineStr">
        <is>
          <t>Legacy/unused</t>
        </is>
      </c>
    </row>
    <row r="225">
      <c r="A225" s="5" t="inlineStr">
        <is>
          <t>EDG-0221</t>
        </is>
      </c>
      <c r="B225" s="5" t="inlineStr">
        <is>
          <t>import</t>
        </is>
      </c>
      <c r="C225" s="5" t="inlineStr">
        <is>
          <t>MOD-054</t>
        </is>
      </c>
      <c r="D225" s="5" t="inlineStr">
        <is>
          <t>js/v2/Fauna.js</t>
        </is>
      </c>
      <c r="E225" s="5" t="inlineStr">
        <is>
          <t>MOD-103</t>
        </is>
      </c>
      <c r="F225" s="5" t="inlineStr">
        <is>
          <t>constants.js</t>
        </is>
      </c>
      <c r="G225" s="5" t="inlineStr">
        <is>
          <t>Legacy/unused</t>
        </is>
      </c>
    </row>
    <row r="226">
      <c r="A226" s="5" t="inlineStr">
        <is>
          <t>EDG-0222</t>
        </is>
      </c>
      <c r="B226" s="5" t="inlineStr">
        <is>
          <t>import</t>
        </is>
      </c>
      <c r="C226" s="5" t="inlineStr">
        <is>
          <t>MOD-054</t>
        </is>
      </c>
      <c r="D226" s="5" t="inlineStr">
        <is>
          <t>js/v2/Fauna.js</t>
        </is>
      </c>
      <c r="E226" s="5" t="inlineStr">
        <is>
          <t>MOD-104</t>
        </is>
      </c>
      <c r="F226" s="5" t="inlineStr">
        <is>
          <t>gltfLoaderSetup.js</t>
        </is>
      </c>
      <c r="G226" s="5" t="inlineStr">
        <is>
          <t>Legacy/unused</t>
        </is>
      </c>
    </row>
    <row r="227">
      <c r="A227" s="5" t="inlineStr">
        <is>
          <t>EDG-0223</t>
        </is>
      </c>
      <c r="B227" s="5" t="inlineStr">
        <is>
          <t>service-use</t>
        </is>
      </c>
      <c r="C227" s="5" t="inlineStr">
        <is>
          <t>MOD-054</t>
        </is>
      </c>
      <c r="D227" s="5" t="inlineStr">
        <is>
          <t>js/v2/Fauna.js</t>
        </is>
      </c>
      <c r="E227" s="5" t="inlineStr">
        <is>
          <t>service:AnuNatureAwareness</t>
        </is>
      </c>
      <c r="F227" s="5" t="inlineStr"/>
      <c r="G227" s="5" t="inlineStr">
        <is>
          <t>Legacy/unused</t>
        </is>
      </c>
    </row>
    <row r="228">
      <c r="A228" s="5" t="inlineStr">
        <is>
          <t>EDG-0224</t>
        </is>
      </c>
      <c r="B228" s="5" t="inlineStr">
        <is>
          <t>service-use</t>
        </is>
      </c>
      <c r="C228" s="5" t="inlineStr">
        <is>
          <t>MOD-054</t>
        </is>
      </c>
      <c r="D228" s="5" t="inlineStr">
        <is>
          <t>js/v2/Fauna.js</t>
        </is>
      </c>
      <c r="E228" s="5" t="inlineStr">
        <is>
          <t>service:WorldPhysics</t>
        </is>
      </c>
      <c r="F228" s="5" t="inlineStr"/>
      <c r="G228" s="5" t="inlineStr">
        <is>
          <t>Legacy/unused</t>
        </is>
      </c>
    </row>
    <row r="229">
      <c r="A229" s="5" t="inlineStr">
        <is>
          <t>EDG-0225</t>
        </is>
      </c>
      <c r="B229" s="5" t="inlineStr">
        <is>
          <t>service-use</t>
        </is>
      </c>
      <c r="C229" s="5" t="inlineStr">
        <is>
          <t>MOD-054</t>
        </is>
      </c>
      <c r="D229" s="5" t="inlineStr">
        <is>
          <t>js/v2/Fauna.js</t>
        </is>
      </c>
      <c r="E229" s="5" t="inlineStr">
        <is>
          <t>service:WorldPlayer</t>
        </is>
      </c>
      <c r="F229" s="5" t="inlineStr"/>
      <c r="G229" s="5" t="inlineStr">
        <is>
          <t>Legacy/unused</t>
        </is>
      </c>
    </row>
    <row r="230">
      <c r="A230" s="5" t="inlineStr">
        <is>
          <t>EDG-0226</t>
        </is>
      </c>
      <c r="B230" s="5" t="inlineStr">
        <is>
          <t>asset</t>
        </is>
      </c>
      <c r="C230" s="5" t="inlineStr">
        <is>
          <t>MOD-054</t>
        </is>
      </c>
      <c r="D230" s="5" t="inlineStr">
        <is>
          <t>js/v2/Fauna.js</t>
        </is>
      </c>
      <c r="E230" s="5" t="inlineStr">
        <is>
          <t>Assets/rabbit.animated.glb</t>
        </is>
      </c>
      <c r="F230" s="5" t="inlineStr"/>
      <c r="G230" s="5" t="inlineStr">
        <is>
          <t>Legacy/unused</t>
        </is>
      </c>
    </row>
    <row r="231">
      <c r="A231" s="5" t="inlineStr">
        <is>
          <t>EDG-0227</t>
        </is>
      </c>
      <c r="B231" s="5" t="inlineStr">
        <is>
          <t>import</t>
        </is>
      </c>
      <c r="C231" s="5" t="inlineStr">
        <is>
          <t>MOD-055</t>
        </is>
      </c>
      <c r="D231" s="5" t="inlineStr">
        <is>
          <t>js/v2/Flora.js</t>
        </is>
      </c>
      <c r="E231" s="5" t="inlineStr">
        <is>
          <t>MOD-056</t>
        </is>
      </c>
      <c r="F231" s="5" t="inlineStr">
        <is>
          <t>FloraLegacyTreeLayout.js</t>
        </is>
      </c>
      <c r="G231" s="5" t="inlineStr">
        <is>
          <t>Legacy/unused</t>
        </is>
      </c>
    </row>
    <row r="232">
      <c r="A232" s="5" t="inlineStr">
        <is>
          <t>EDG-0228</t>
        </is>
      </c>
      <c r="B232" s="5" t="inlineStr">
        <is>
          <t>import</t>
        </is>
      </c>
      <c r="C232" s="5" t="inlineStr">
        <is>
          <t>MOD-055</t>
        </is>
      </c>
      <c r="D232" s="5" t="inlineStr">
        <is>
          <t>js/v2/Flora.js</t>
        </is>
      </c>
      <c r="E232" s="5" t="inlineStr">
        <is>
          <t>MOD-057</t>
        </is>
      </c>
      <c r="F232" s="5" t="inlineStr">
        <is>
          <t>MapsConfig.js</t>
        </is>
      </c>
      <c r="G232" s="5" t="inlineStr">
        <is>
          <t>Legacy/unused</t>
        </is>
      </c>
    </row>
    <row r="233">
      <c r="A233" s="5" t="inlineStr">
        <is>
          <t>EDG-0229</t>
        </is>
      </c>
      <c r="B233" s="5" t="inlineStr">
        <is>
          <t>import</t>
        </is>
      </c>
      <c r="C233" s="5" t="inlineStr">
        <is>
          <t>MOD-055</t>
        </is>
      </c>
      <c r="D233" s="5" t="inlineStr">
        <is>
          <t>js/v2/Flora.js</t>
        </is>
      </c>
      <c r="E233" s="5" t="inlineStr">
        <is>
          <t>MOD-061</t>
        </is>
      </c>
      <c r="F233" s="5" t="inlineStr">
        <is>
          <t>RuntimeServices.js</t>
        </is>
      </c>
      <c r="G233" s="5" t="inlineStr">
        <is>
          <t>Legacy/unused</t>
        </is>
      </c>
    </row>
    <row r="234">
      <c r="A234" s="5" t="inlineStr">
        <is>
          <t>EDG-0230</t>
        </is>
      </c>
      <c r="B234" s="5" t="inlineStr">
        <is>
          <t>import</t>
        </is>
      </c>
      <c r="C234" s="5" t="inlineStr">
        <is>
          <t>MOD-055</t>
        </is>
      </c>
      <c r="D234" s="5" t="inlineStr">
        <is>
          <t>js/v2/Flora.js</t>
        </is>
      </c>
      <c r="E234" s="5" t="inlineStr">
        <is>
          <t>MOD-093</t>
        </is>
      </c>
      <c r="F234" s="5" t="inlineStr">
        <is>
          <t>InteractionBus.js</t>
        </is>
      </c>
      <c r="G234" s="5" t="inlineStr">
        <is>
          <t>Legacy/unused</t>
        </is>
      </c>
    </row>
    <row r="235">
      <c r="A235" s="5" t="inlineStr">
        <is>
          <t>EDG-0231</t>
        </is>
      </c>
      <c r="B235" s="5" t="inlineStr">
        <is>
          <t>import</t>
        </is>
      </c>
      <c r="C235" s="5" t="inlineStr">
        <is>
          <t>MOD-055</t>
        </is>
      </c>
      <c r="D235" s="5" t="inlineStr">
        <is>
          <t>js/v2/Flora.js</t>
        </is>
      </c>
      <c r="E235" s="5" t="inlineStr">
        <is>
          <t>MOD-094</t>
        </is>
      </c>
      <c r="F235" s="5" t="inlineStr">
        <is>
          <t>PipOrthoRingDiskClip.js</t>
        </is>
      </c>
      <c r="G235" s="5" t="inlineStr">
        <is>
          <t>Legacy/unused</t>
        </is>
      </c>
    </row>
    <row r="236">
      <c r="A236" s="5" t="inlineStr">
        <is>
          <t>EDG-0232</t>
        </is>
      </c>
      <c r="B236" s="5" t="inlineStr">
        <is>
          <t>import</t>
        </is>
      </c>
      <c r="C236" s="5" t="inlineStr">
        <is>
          <t>MOD-055</t>
        </is>
      </c>
      <c r="D236" s="5" t="inlineStr">
        <is>
          <t>js/v2/Flora.js</t>
        </is>
      </c>
      <c r="E236" s="5" t="inlineStr">
        <is>
          <t>MOD-098</t>
        </is>
      </c>
      <c r="F236" s="5" t="inlineStr">
        <is>
          <t>SimulationController.js</t>
        </is>
      </c>
      <c r="G236" s="5" t="inlineStr">
        <is>
          <t>Legacy/unused</t>
        </is>
      </c>
    </row>
    <row r="237">
      <c r="A237" s="5" t="inlineStr">
        <is>
          <t>EDG-0233</t>
        </is>
      </c>
      <c r="B237" s="5" t="inlineStr">
        <is>
          <t>import</t>
        </is>
      </c>
      <c r="C237" s="5" t="inlineStr">
        <is>
          <t>MOD-055</t>
        </is>
      </c>
      <c r="D237" s="5" t="inlineStr">
        <is>
          <t>js/v2/Flora.js</t>
        </is>
      </c>
      <c r="E237" s="5" t="inlineStr">
        <is>
          <t>MOD-100</t>
        </is>
      </c>
      <c r="F237" s="5" t="inlineStr">
        <is>
          <t>anuEvents.js</t>
        </is>
      </c>
      <c r="G237" s="5" t="inlineStr">
        <is>
          <t>Legacy/unused</t>
        </is>
      </c>
    </row>
    <row r="238">
      <c r="A238" s="5" t="inlineStr">
        <is>
          <t>EDG-0234</t>
        </is>
      </c>
      <c r="B238" s="5" t="inlineStr">
        <is>
          <t>import</t>
        </is>
      </c>
      <c r="C238" s="5" t="inlineStr">
        <is>
          <t>MOD-055</t>
        </is>
      </c>
      <c r="D238" s="5" t="inlineStr">
        <is>
          <t>js/v2/Flora.js</t>
        </is>
      </c>
      <c r="E238" s="5" t="inlineStr">
        <is>
          <t>MOD-103</t>
        </is>
      </c>
      <c r="F238" s="5" t="inlineStr">
        <is>
          <t>constants.js</t>
        </is>
      </c>
      <c r="G238" s="5" t="inlineStr">
        <is>
          <t>Legacy/unused</t>
        </is>
      </c>
    </row>
    <row r="239">
      <c r="A239" s="5" t="inlineStr">
        <is>
          <t>EDG-0235</t>
        </is>
      </c>
      <c r="B239" s="5" t="inlineStr">
        <is>
          <t>import</t>
        </is>
      </c>
      <c r="C239" s="5" t="inlineStr">
        <is>
          <t>MOD-055</t>
        </is>
      </c>
      <c r="D239" s="5" t="inlineStr">
        <is>
          <t>js/v2/Flora.js</t>
        </is>
      </c>
      <c r="E239" s="5" t="inlineStr">
        <is>
          <t>MOD-104</t>
        </is>
      </c>
      <c r="F239" s="5" t="inlineStr">
        <is>
          <t>gltfLoaderSetup.js</t>
        </is>
      </c>
      <c r="G239" s="5" t="inlineStr">
        <is>
          <t>Legacy/unused</t>
        </is>
      </c>
    </row>
    <row r="240">
      <c r="A240" s="5" t="inlineStr">
        <is>
          <t>EDG-0236</t>
        </is>
      </c>
      <c r="B240" s="5" t="inlineStr">
        <is>
          <t>anu-event-subscribe</t>
        </is>
      </c>
      <c r="C240" s="5" t="inlineStr">
        <is>
          <t>MOD-055</t>
        </is>
      </c>
      <c r="D240" s="5" t="inlineStr">
        <is>
          <t>js/v2/Flora.js</t>
        </is>
      </c>
      <c r="E240" s="5" t="inlineStr">
        <is>
          <t>ANU_EVENTS.SEASON_CHANGE</t>
        </is>
      </c>
      <c r="F240" s="5" t="inlineStr"/>
      <c r="G240" s="5" t="inlineStr">
        <is>
          <t>Legacy/unused</t>
        </is>
      </c>
    </row>
    <row r="241">
      <c r="A241" s="5" t="inlineStr">
        <is>
          <t>EDG-0237</t>
        </is>
      </c>
      <c r="B241" s="5" t="inlineStr">
        <is>
          <t>service-use</t>
        </is>
      </c>
      <c r="C241" s="5" t="inlineStr">
        <is>
          <t>MOD-055</t>
        </is>
      </c>
      <c r="D241" s="5" t="inlineStr">
        <is>
          <t>js/v2/Flora.js</t>
        </is>
      </c>
      <c r="E241" s="5" t="inlineStr">
        <is>
          <t>service:WorldPhysics</t>
        </is>
      </c>
      <c r="F241" s="5" t="inlineStr"/>
      <c r="G241" s="5" t="inlineStr">
        <is>
          <t>Legacy/unused</t>
        </is>
      </c>
    </row>
    <row r="242">
      <c r="A242" s="5" t="inlineStr">
        <is>
          <t>EDG-0238</t>
        </is>
      </c>
      <c r="B242" s="5" t="inlineStr">
        <is>
          <t>service-use</t>
        </is>
      </c>
      <c r="C242" s="5" t="inlineStr">
        <is>
          <t>MOD-055</t>
        </is>
      </c>
      <c r="D242" s="5" t="inlineStr">
        <is>
          <t>js/v2/Flora.js</t>
        </is>
      </c>
      <c r="E242" s="5" t="inlineStr">
        <is>
          <t>service:WorldPlayer</t>
        </is>
      </c>
      <c r="F242" s="5" t="inlineStr"/>
      <c r="G242" s="5" t="inlineStr">
        <is>
          <t>Legacy/unused</t>
        </is>
      </c>
    </row>
    <row r="243">
      <c r="A243" s="5" t="inlineStr">
        <is>
          <t>EDG-0239</t>
        </is>
      </c>
      <c r="B243" s="5" t="inlineStr">
        <is>
          <t>asset</t>
        </is>
      </c>
      <c r="C243" s="5" t="inlineStr">
        <is>
          <t>MOD-055</t>
        </is>
      </c>
      <c r="D243" s="5" t="inlineStr">
        <is>
          <t>js/v2/Flora.js</t>
        </is>
      </c>
      <c r="E243" s="5" t="inlineStr">
        <is>
          <t>Assets/tree.glb</t>
        </is>
      </c>
      <c r="F243" s="5" t="inlineStr"/>
      <c r="G243" s="5" t="inlineStr">
        <is>
          <t>Legacy/unused</t>
        </is>
      </c>
    </row>
    <row r="244">
      <c r="A244" s="5" t="inlineStr">
        <is>
          <t>EDG-0240</t>
        </is>
      </c>
      <c r="B244" s="5" t="inlineStr">
        <is>
          <t>import</t>
        </is>
      </c>
      <c r="C244" s="5" t="inlineStr">
        <is>
          <t>MOD-056</t>
        </is>
      </c>
      <c r="D244" s="5" t="inlineStr">
        <is>
          <t>js/v2/FloraLegacyTreeLayout.js</t>
        </is>
      </c>
      <c r="E244" s="5" t="inlineStr">
        <is>
          <t>MOD-103</t>
        </is>
      </c>
      <c r="F244" s="5" t="inlineStr">
        <is>
          <t>constants.js</t>
        </is>
      </c>
      <c r="G244" s="5" t="inlineStr">
        <is>
          <t>Legacy/unused</t>
        </is>
      </c>
    </row>
    <row r="245">
      <c r="A245" s="5" t="inlineStr">
        <is>
          <t>EDG-0241</t>
        </is>
      </c>
      <c r="B245" s="5" t="inlineStr">
        <is>
          <t>global-write</t>
        </is>
      </c>
      <c r="C245" s="5" t="inlineStr">
        <is>
          <t>MOD-057</t>
        </is>
      </c>
      <c r="D245" s="5" t="inlineStr">
        <is>
          <t>js/v2/MapsConfig.js</t>
        </is>
      </c>
      <c r="E245" s="5" t="inlineStr">
        <is>
          <t>window._v2ActiveMap</t>
        </is>
      </c>
      <c r="F245" s="5" t="inlineStr"/>
      <c r="G245" s="5" t="inlineStr">
        <is>
          <t>Live</t>
        </is>
      </c>
    </row>
    <row r="246">
      <c r="A246" s="5" t="inlineStr">
        <is>
          <t>EDG-0242</t>
        </is>
      </c>
      <c r="B246" s="5" t="inlineStr">
        <is>
          <t>global-write</t>
        </is>
      </c>
      <c r="C246" s="5" t="inlineStr">
        <is>
          <t>MOD-057</t>
        </is>
      </c>
      <c r="D246" s="5" t="inlineStr">
        <is>
          <t>js/v2/MapsConfig.js</t>
        </is>
      </c>
      <c r="E246" s="5" t="inlineStr">
        <is>
          <t>window._v2ListMaps</t>
        </is>
      </c>
      <c r="F246" s="5" t="inlineStr"/>
      <c r="G246" s="5" t="inlineStr">
        <is>
          <t>Live</t>
        </is>
      </c>
    </row>
    <row r="247">
      <c r="A247" s="5" t="inlineStr">
        <is>
          <t>EDG-0243</t>
        </is>
      </c>
      <c r="B247" s="5" t="inlineStr">
        <is>
          <t>global-write</t>
        </is>
      </c>
      <c r="C247" s="5" t="inlineStr">
        <is>
          <t>MOD-057</t>
        </is>
      </c>
      <c r="D247" s="5" t="inlineStr">
        <is>
          <t>js/v2/MapsConfig.js</t>
        </is>
      </c>
      <c r="E247" s="5" t="inlineStr">
        <is>
          <t>window._v2SetMap</t>
        </is>
      </c>
      <c r="F247" s="5" t="inlineStr"/>
      <c r="G247" s="5" t="inlineStr">
        <is>
          <t>Live</t>
        </is>
      </c>
    </row>
    <row r="248">
      <c r="A248" s="5" t="inlineStr">
        <is>
          <t>EDG-0244</t>
        </is>
      </c>
      <c r="B248" s="5" t="inlineStr">
        <is>
          <t>import</t>
        </is>
      </c>
      <c r="C248" s="5" t="inlineStr">
        <is>
          <t>MOD-058</t>
        </is>
      </c>
      <c r="D248" s="5" t="inlineStr">
        <is>
          <t>js/v2/NPCBehaviour.js</t>
        </is>
      </c>
      <c r="E248" s="5" t="inlineStr">
        <is>
          <t>MOD-093</t>
        </is>
      </c>
      <c r="F248" s="5" t="inlineStr">
        <is>
          <t>InteractionBus.js</t>
        </is>
      </c>
      <c r="G248" s="5" t="inlineStr">
        <is>
          <t>Live</t>
        </is>
      </c>
    </row>
    <row r="249">
      <c r="A249" s="5" t="inlineStr">
        <is>
          <t>EDG-0245</t>
        </is>
      </c>
      <c r="B249" s="5" t="inlineStr">
        <is>
          <t>import</t>
        </is>
      </c>
      <c r="C249" s="5" t="inlineStr">
        <is>
          <t>MOD-058</t>
        </is>
      </c>
      <c r="D249" s="5" t="inlineStr">
        <is>
          <t>js/v2/NPCBehaviour.js</t>
        </is>
      </c>
      <c r="E249" s="5" t="inlineStr">
        <is>
          <t>MOD-100</t>
        </is>
      </c>
      <c r="F249" s="5" t="inlineStr">
        <is>
          <t>anuEvents.js</t>
        </is>
      </c>
      <c r="G249" s="5" t="inlineStr">
        <is>
          <t>Live</t>
        </is>
      </c>
    </row>
    <row r="250">
      <c r="A250" s="5" t="inlineStr">
        <is>
          <t>EDG-0246</t>
        </is>
      </c>
      <c r="B250" s="5" t="inlineStr">
        <is>
          <t>import</t>
        </is>
      </c>
      <c r="C250" s="5" t="inlineStr">
        <is>
          <t>MOD-058</t>
        </is>
      </c>
      <c r="D250" s="5" t="inlineStr">
        <is>
          <t>js/v2/NPCBehaviour.js</t>
        </is>
      </c>
      <c r="E250" s="5" t="inlineStr">
        <is>
          <t>MOD-103</t>
        </is>
      </c>
      <c r="F250" s="5" t="inlineStr">
        <is>
          <t>constants.js</t>
        </is>
      </c>
      <c r="G250" s="5" t="inlineStr">
        <is>
          <t>Live</t>
        </is>
      </c>
    </row>
    <row r="251">
      <c r="A251" s="5" t="inlineStr">
        <is>
          <t>EDG-0247</t>
        </is>
      </c>
      <c r="B251" s="5" t="inlineStr">
        <is>
          <t>anu-event-dispatch</t>
        </is>
      </c>
      <c r="C251" s="5" t="inlineStr">
        <is>
          <t>MOD-058</t>
        </is>
      </c>
      <c r="D251" s="5" t="inlineStr">
        <is>
          <t>js/v2/NPCBehaviour.js</t>
        </is>
      </c>
      <c r="E251" s="5" t="inlineStr">
        <is>
          <t>ANU_EVENTS.PLAYER_NPC_GREETING</t>
        </is>
      </c>
      <c r="F251" s="5" t="inlineStr"/>
      <c r="G251" s="5" t="inlineStr">
        <is>
          <t>Live</t>
        </is>
      </c>
    </row>
    <row r="252">
      <c r="A252" s="5" t="inlineStr">
        <is>
          <t>EDG-0248</t>
        </is>
      </c>
      <c r="B252" s="5" t="inlineStr">
        <is>
          <t>import</t>
        </is>
      </c>
      <c r="C252" s="5" t="inlineStr">
        <is>
          <t>MOD-059</t>
        </is>
      </c>
      <c r="D252" s="5" t="inlineStr">
        <is>
          <t>js/v2/Orchestrator.js</t>
        </is>
      </c>
      <c r="E252" s="5" t="inlineStr">
        <is>
          <t>MOD-060</t>
        </is>
      </c>
      <c r="F252" s="5" t="inlineStr">
        <is>
          <t>OrchestratorHud.js</t>
        </is>
      </c>
      <c r="G252" s="5" t="inlineStr">
        <is>
          <t>Live</t>
        </is>
      </c>
    </row>
    <row r="253">
      <c r="A253" s="5" t="inlineStr">
        <is>
          <t>EDG-0249</t>
        </is>
      </c>
      <c r="B253" s="5" t="inlineStr">
        <is>
          <t>import</t>
        </is>
      </c>
      <c r="C253" s="5" t="inlineStr">
        <is>
          <t>MOD-059</t>
        </is>
      </c>
      <c r="D253" s="5" t="inlineStr">
        <is>
          <t>js/v2/Orchestrator.js</t>
        </is>
      </c>
      <c r="E253" s="5" t="inlineStr">
        <is>
          <t>MOD-061</t>
        </is>
      </c>
      <c r="F253" s="5" t="inlineStr">
        <is>
          <t>RuntimeServices.js</t>
        </is>
      </c>
      <c r="G253" s="5" t="inlineStr">
        <is>
          <t>Live</t>
        </is>
      </c>
    </row>
    <row r="254">
      <c r="A254" s="5" t="inlineStr">
        <is>
          <t>EDG-0250</t>
        </is>
      </c>
      <c r="B254" s="5" t="inlineStr">
        <is>
          <t>import</t>
        </is>
      </c>
      <c r="C254" s="5" t="inlineStr">
        <is>
          <t>MOD-059</t>
        </is>
      </c>
      <c r="D254" s="5" t="inlineStr">
        <is>
          <t>js/v2/Orchestrator.js</t>
        </is>
      </c>
      <c r="E254" s="5" t="inlineStr">
        <is>
          <t>MOD-086</t>
        </is>
      </c>
      <c r="F254" s="5" t="inlineStr">
        <is>
          <t>AdaptiveRenderPolicy.js</t>
        </is>
      </c>
      <c r="G254" s="5" t="inlineStr">
        <is>
          <t>Live</t>
        </is>
      </c>
    </row>
    <row r="255">
      <c r="A255" s="5" t="inlineStr">
        <is>
          <t>EDG-0251</t>
        </is>
      </c>
      <c r="B255" s="5" t="inlineStr">
        <is>
          <t>import</t>
        </is>
      </c>
      <c r="C255" s="5" t="inlineStr">
        <is>
          <t>MOD-059</t>
        </is>
      </c>
      <c r="D255" s="5" t="inlineStr">
        <is>
          <t>js/v2/Orchestrator.js</t>
        </is>
      </c>
      <c r="E255" s="5" t="inlineStr">
        <is>
          <t>MOD-087</t>
        </is>
      </c>
      <c r="F255" s="5" t="inlineStr">
        <is>
          <t>AnuErrorAndStressLedger.js</t>
        </is>
      </c>
      <c r="G255" s="5" t="inlineStr">
        <is>
          <t>Live</t>
        </is>
      </c>
    </row>
    <row r="256">
      <c r="A256" s="5" t="inlineStr">
        <is>
          <t>EDG-0252</t>
        </is>
      </c>
      <c r="B256" s="5" t="inlineStr">
        <is>
          <t>import</t>
        </is>
      </c>
      <c r="C256" s="5" t="inlineStr">
        <is>
          <t>MOD-059</t>
        </is>
      </c>
      <c r="D256" s="5" t="inlineStr">
        <is>
          <t>js/v2/Orchestrator.js</t>
        </is>
      </c>
      <c r="E256" s="5" t="inlineStr">
        <is>
          <t>MOD-090</t>
        </is>
      </c>
      <c r="F256" s="5" t="inlineStr">
        <is>
          <t>AnuNatureAwareness.js</t>
        </is>
      </c>
      <c r="G256" s="5" t="inlineStr">
        <is>
          <t>Live</t>
        </is>
      </c>
    </row>
    <row r="257">
      <c r="A257" s="5" t="inlineStr">
        <is>
          <t>EDG-0253</t>
        </is>
      </c>
      <c r="B257" s="5" t="inlineStr">
        <is>
          <t>import</t>
        </is>
      </c>
      <c r="C257" s="5" t="inlineStr">
        <is>
          <t>MOD-059</t>
        </is>
      </c>
      <c r="D257" s="5" t="inlineStr">
        <is>
          <t>js/v2/Orchestrator.js</t>
        </is>
      </c>
      <c r="E257" s="5" t="inlineStr">
        <is>
          <t>MOD-092</t>
        </is>
      </c>
      <c r="F257" s="5" t="inlineStr">
        <is>
          <t>FrameBudget.js</t>
        </is>
      </c>
      <c r="G257" s="5" t="inlineStr">
        <is>
          <t>Live</t>
        </is>
      </c>
    </row>
    <row r="258">
      <c r="A258" s="5" t="inlineStr">
        <is>
          <t>EDG-0254</t>
        </is>
      </c>
      <c r="B258" s="5" t="inlineStr">
        <is>
          <t>import</t>
        </is>
      </c>
      <c r="C258" s="5" t="inlineStr">
        <is>
          <t>MOD-059</t>
        </is>
      </c>
      <c r="D258" s="5" t="inlineStr">
        <is>
          <t>js/v2/Orchestrator.js</t>
        </is>
      </c>
      <c r="E258" s="5" t="inlineStr">
        <is>
          <t>MOD-093</t>
        </is>
      </c>
      <c r="F258" s="5" t="inlineStr">
        <is>
          <t>InteractionBus.js</t>
        </is>
      </c>
      <c r="G258" s="5" t="inlineStr">
        <is>
          <t>Live</t>
        </is>
      </c>
    </row>
    <row r="259">
      <c r="A259" s="5" t="inlineStr">
        <is>
          <t>EDG-0255</t>
        </is>
      </c>
      <c r="B259" s="5" t="inlineStr">
        <is>
          <t>import</t>
        </is>
      </c>
      <c r="C259" s="5" t="inlineStr">
        <is>
          <t>MOD-059</t>
        </is>
      </c>
      <c r="D259" s="5" t="inlineStr">
        <is>
          <t>js/v2/Orchestrator.js</t>
        </is>
      </c>
      <c r="E259" s="5" t="inlineStr">
        <is>
          <t>MOD-094</t>
        </is>
      </c>
      <c r="F259" s="5" t="inlineStr">
        <is>
          <t>PipOrthoRingDiskClip.js</t>
        </is>
      </c>
      <c r="G259" s="5" t="inlineStr">
        <is>
          <t>Live</t>
        </is>
      </c>
    </row>
    <row r="260">
      <c r="A260" s="5" t="inlineStr">
        <is>
          <t>EDG-0256</t>
        </is>
      </c>
      <c r="B260" s="5" t="inlineStr">
        <is>
          <t>import</t>
        </is>
      </c>
      <c r="C260" s="5" t="inlineStr">
        <is>
          <t>MOD-059</t>
        </is>
      </c>
      <c r="D260" s="5" t="inlineStr">
        <is>
          <t>js/v2/Orchestrator.js</t>
        </is>
      </c>
      <c r="E260" s="5" t="inlineStr">
        <is>
          <t>MOD-096</t>
        </is>
      </c>
      <c r="F260" s="5" t="inlineStr">
        <is>
          <t>RenderingGovernor.js</t>
        </is>
      </c>
      <c r="G260" s="5" t="inlineStr">
        <is>
          <t>Live</t>
        </is>
      </c>
    </row>
    <row r="261">
      <c r="A261" s="5" t="inlineStr">
        <is>
          <t>EDG-0257</t>
        </is>
      </c>
      <c r="B261" s="5" t="inlineStr">
        <is>
          <t>import</t>
        </is>
      </c>
      <c r="C261" s="5" t="inlineStr">
        <is>
          <t>MOD-059</t>
        </is>
      </c>
      <c r="D261" s="5" t="inlineStr">
        <is>
          <t>js/v2/Orchestrator.js</t>
        </is>
      </c>
      <c r="E261" s="5" t="inlineStr">
        <is>
          <t>MOD-097</t>
        </is>
      </c>
      <c r="F261" s="5" t="inlineStr">
        <is>
          <t>SceneModelInventory.js</t>
        </is>
      </c>
      <c r="G261" s="5" t="inlineStr">
        <is>
          <t>Live</t>
        </is>
      </c>
    </row>
    <row r="262">
      <c r="A262" s="5" t="inlineStr">
        <is>
          <t>EDG-0258</t>
        </is>
      </c>
      <c r="B262" s="5" t="inlineStr">
        <is>
          <t>import</t>
        </is>
      </c>
      <c r="C262" s="5" t="inlineStr">
        <is>
          <t>MOD-059</t>
        </is>
      </c>
      <c r="D262" s="5" t="inlineStr">
        <is>
          <t>js/v2/Orchestrator.js</t>
        </is>
      </c>
      <c r="E262" s="5" t="inlineStr">
        <is>
          <t>MOD-100</t>
        </is>
      </c>
      <c r="F262" s="5" t="inlineStr">
        <is>
          <t>anuEvents.js</t>
        </is>
      </c>
      <c r="G262" s="5" t="inlineStr">
        <is>
          <t>Live</t>
        </is>
      </c>
    </row>
    <row r="263">
      <c r="A263" s="5" t="inlineStr">
        <is>
          <t>EDG-0259</t>
        </is>
      </c>
      <c r="B263" s="5" t="inlineStr">
        <is>
          <t>import</t>
        </is>
      </c>
      <c r="C263" s="5" t="inlineStr">
        <is>
          <t>MOD-059</t>
        </is>
      </c>
      <c r="D263" s="5" t="inlineStr">
        <is>
          <t>js/v2/Orchestrator.js</t>
        </is>
      </c>
      <c r="E263" s="5" t="inlineStr">
        <is>
          <t>MOD-103</t>
        </is>
      </c>
      <c r="F263" s="5" t="inlineStr">
        <is>
          <t>constants.js</t>
        </is>
      </c>
      <c r="G263" s="5" t="inlineStr">
        <is>
          <t>Live</t>
        </is>
      </c>
    </row>
    <row r="264">
      <c r="A264" s="5" t="inlineStr">
        <is>
          <t>EDG-0260</t>
        </is>
      </c>
      <c r="B264" s="5" t="inlineStr">
        <is>
          <t>global-write</t>
        </is>
      </c>
      <c r="C264" s="5" t="inlineStr">
        <is>
          <t>MOD-059</t>
        </is>
      </c>
      <c r="D264" s="5" t="inlineStr">
        <is>
          <t>js/v2/Orchestrator.js</t>
        </is>
      </c>
      <c r="E264" s="5" t="inlineStr">
        <is>
          <t>window.Orchestrator</t>
        </is>
      </c>
      <c r="F264" s="5" t="inlineStr"/>
      <c r="G264" s="5" t="inlineStr">
        <is>
          <t>Live</t>
        </is>
      </c>
    </row>
    <row r="265">
      <c r="A265" s="5" t="inlineStr">
        <is>
          <t>EDG-0261</t>
        </is>
      </c>
      <c r="B265" s="5" t="inlineStr">
        <is>
          <t>global-write</t>
        </is>
      </c>
      <c r="C265" s="5" t="inlineStr">
        <is>
          <t>MOD-059</t>
        </is>
      </c>
      <c r="D265" s="5" t="inlineStr">
        <is>
          <t>js/v2/Orchestrator.js</t>
        </is>
      </c>
      <c r="E265" s="5" t="inlineStr">
        <is>
          <t>window.__isRenderingPip</t>
        </is>
      </c>
      <c r="F265" s="5" t="inlineStr"/>
      <c r="G265" s="5" t="inlineStr">
        <is>
          <t>Live</t>
        </is>
      </c>
    </row>
    <row r="266">
      <c r="A266" s="5" t="inlineStr">
        <is>
          <t>EDG-0262</t>
        </is>
      </c>
      <c r="B266" s="5" t="inlineStr">
        <is>
          <t>global-write</t>
        </is>
      </c>
      <c r="C266" s="5" t="inlineStr">
        <is>
          <t>MOD-059</t>
        </is>
      </c>
      <c r="D266" s="5" t="inlineStr">
        <is>
          <t>js/v2/Orchestrator.js</t>
        </is>
      </c>
      <c r="E266" s="5" t="inlineStr">
        <is>
          <t>window.__mobileTexCap</t>
        </is>
      </c>
      <c r="F266" s="5" t="inlineStr"/>
      <c r="G266" s="5" t="inlineStr">
        <is>
          <t>Live</t>
        </is>
      </c>
    </row>
    <row r="267">
      <c r="A267" s="5" t="inlineStr">
        <is>
          <t>EDG-0263</t>
        </is>
      </c>
      <c r="B267" s="5" t="inlineStr">
        <is>
          <t>global-write</t>
        </is>
      </c>
      <c r="C267" s="5" t="inlineStr">
        <is>
          <t>MOD-059</t>
        </is>
      </c>
      <c r="D267" s="5" t="inlineStr">
        <is>
          <t>js/v2/Orchestrator.js</t>
        </is>
      </c>
      <c r="E267" s="5" t="inlineStr">
        <is>
          <t>window.anuOrchestrator</t>
        </is>
      </c>
      <c r="F267" s="5" t="inlineStr"/>
      <c r="G267" s="5" t="inlineStr">
        <is>
          <t>Live</t>
        </is>
      </c>
    </row>
    <row r="268">
      <c r="A268" s="5" t="inlineStr">
        <is>
          <t>EDG-0264</t>
        </is>
      </c>
      <c r="B268" s="5" t="inlineStr">
        <is>
          <t>anu-event-dispatch</t>
        </is>
      </c>
      <c r="C268" s="5" t="inlineStr">
        <is>
          <t>MOD-059</t>
        </is>
      </c>
      <c r="D268" s="5" t="inlineStr">
        <is>
          <t>js/v2/Orchestrator.js</t>
        </is>
      </c>
      <c r="E268" s="5" t="inlineStr">
        <is>
          <t>ANU_EVENTS.MODULE_ACTIVATED</t>
        </is>
      </c>
      <c r="F268" s="5" t="inlineStr"/>
      <c r="G268" s="5" t="inlineStr">
        <is>
          <t>Live</t>
        </is>
      </c>
    </row>
    <row r="269">
      <c r="A269" s="5" t="inlineStr">
        <is>
          <t>EDG-0265</t>
        </is>
      </c>
      <c r="B269" s="5" t="inlineStr">
        <is>
          <t>anu-event-dispatch</t>
        </is>
      </c>
      <c r="C269" s="5" t="inlineStr">
        <is>
          <t>MOD-059</t>
        </is>
      </c>
      <c r="D269" s="5" t="inlineStr">
        <is>
          <t>js/v2/Orchestrator.js</t>
        </is>
      </c>
      <c r="E269" s="5" t="inlineStr">
        <is>
          <t>ANU_EVENTS.MODULE_DEACTIVATED</t>
        </is>
      </c>
      <c r="F269" s="5" t="inlineStr"/>
      <c r="G269" s="5" t="inlineStr">
        <is>
          <t>Live</t>
        </is>
      </c>
    </row>
    <row r="270">
      <c r="A270" s="5" t="inlineStr">
        <is>
          <t>EDG-0266</t>
        </is>
      </c>
      <c r="B270" s="5" t="inlineStr">
        <is>
          <t>anu-event-dispatch</t>
        </is>
      </c>
      <c r="C270" s="5" t="inlineStr">
        <is>
          <t>MOD-059</t>
        </is>
      </c>
      <c r="D270" s="5" t="inlineStr">
        <is>
          <t>js/v2/Orchestrator.js</t>
        </is>
      </c>
      <c r="E270" s="5" t="inlineStr">
        <is>
          <t>ANU_EVENTS.ORCHESTRATOR_BENCH_COMPLETE</t>
        </is>
      </c>
      <c r="F270" s="5" t="inlineStr"/>
      <c r="G270" s="5" t="inlineStr">
        <is>
          <t>Live</t>
        </is>
      </c>
    </row>
    <row r="271">
      <c r="A271" s="5" t="inlineStr">
        <is>
          <t>EDG-0267</t>
        </is>
      </c>
      <c r="B271" s="5" t="inlineStr">
        <is>
          <t>service-use</t>
        </is>
      </c>
      <c r="C271" s="5" t="inlineStr">
        <is>
          <t>MOD-059</t>
        </is>
      </c>
      <c r="D271" s="5" t="inlineStr">
        <is>
          <t>js/v2/Orchestrator.js</t>
        </is>
      </c>
      <c r="E271" s="5" t="inlineStr">
        <is>
          <t>service:PipOrthoBranchClip</t>
        </is>
      </c>
      <c r="F271" s="5" t="inlineStr"/>
      <c r="G271" s="5" t="inlineStr">
        <is>
          <t>Live</t>
        </is>
      </c>
    </row>
    <row r="272">
      <c r="A272" s="5" t="inlineStr">
        <is>
          <t>EDG-0268</t>
        </is>
      </c>
      <c r="B272" s="5" t="inlineStr">
        <is>
          <t>service-use</t>
        </is>
      </c>
      <c r="C272" s="5" t="inlineStr">
        <is>
          <t>MOD-059</t>
        </is>
      </c>
      <c r="D272" s="5" t="inlineStr">
        <is>
          <t>js/v2/Orchestrator.js</t>
        </is>
      </c>
      <c r="E272" s="5" t="inlineStr">
        <is>
          <t>service:WorldPlayer</t>
        </is>
      </c>
      <c r="F272" s="5" t="inlineStr"/>
      <c r="G272" s="5" t="inlineStr">
        <is>
          <t>Live</t>
        </is>
      </c>
    </row>
    <row r="273">
      <c r="A273" s="5" t="inlineStr">
        <is>
          <t>EDG-0269</t>
        </is>
      </c>
      <c r="B273" s="5" t="inlineStr">
        <is>
          <t>import</t>
        </is>
      </c>
      <c r="C273" s="5" t="inlineStr">
        <is>
          <t>MOD-060</t>
        </is>
      </c>
      <c r="D273" s="5" t="inlineStr">
        <is>
          <t>js/v2/OrchestratorHud.js</t>
        </is>
      </c>
      <c r="E273" s="5" t="inlineStr">
        <is>
          <t>MOD-057</t>
        </is>
      </c>
      <c r="F273" s="5" t="inlineStr">
        <is>
          <t>MapsConfig.js</t>
        </is>
      </c>
      <c r="G273" s="5" t="inlineStr">
        <is>
          <t>Live</t>
        </is>
      </c>
    </row>
    <row r="274">
      <c r="A274" s="5" t="inlineStr">
        <is>
          <t>EDG-0270</t>
        </is>
      </c>
      <c r="B274" s="5" t="inlineStr">
        <is>
          <t>import</t>
        </is>
      </c>
      <c r="C274" s="5" t="inlineStr">
        <is>
          <t>MOD-060</t>
        </is>
      </c>
      <c r="D274" s="5" t="inlineStr">
        <is>
          <t>js/v2/OrchestratorHud.js</t>
        </is>
      </c>
      <c r="E274" s="5" t="inlineStr">
        <is>
          <t>MOD-061</t>
        </is>
      </c>
      <c r="F274" s="5" t="inlineStr">
        <is>
          <t>RuntimeServices.js</t>
        </is>
      </c>
      <c r="G274" s="5" t="inlineStr">
        <is>
          <t>Live</t>
        </is>
      </c>
    </row>
    <row r="275">
      <c r="A275" s="5" t="inlineStr">
        <is>
          <t>EDG-0271</t>
        </is>
      </c>
      <c r="B275" s="5" t="inlineStr">
        <is>
          <t>import</t>
        </is>
      </c>
      <c r="C275" s="5" t="inlineStr">
        <is>
          <t>MOD-060</t>
        </is>
      </c>
      <c r="D275" s="5" t="inlineStr">
        <is>
          <t>js/v2/OrchestratorHud.js</t>
        </is>
      </c>
      <c r="E275" s="5" t="inlineStr">
        <is>
          <t>MOD-089</t>
        </is>
      </c>
      <c r="F275" s="5" t="inlineStr">
        <is>
          <t>AnuGovernanceRules.js</t>
        </is>
      </c>
      <c r="G275" s="5" t="inlineStr">
        <is>
          <t>Live</t>
        </is>
      </c>
    </row>
    <row r="276">
      <c r="A276" s="5" t="inlineStr">
        <is>
          <t>EDG-0272</t>
        </is>
      </c>
      <c r="B276" s="5" t="inlineStr">
        <is>
          <t>import</t>
        </is>
      </c>
      <c r="C276" s="5" t="inlineStr">
        <is>
          <t>MOD-060</t>
        </is>
      </c>
      <c r="D276" s="5" t="inlineStr">
        <is>
          <t>js/v2/OrchestratorHud.js</t>
        </is>
      </c>
      <c r="E276" s="5" t="inlineStr">
        <is>
          <t>MOD-092</t>
        </is>
      </c>
      <c r="F276" s="5" t="inlineStr">
        <is>
          <t>FrameBudget.js</t>
        </is>
      </c>
      <c r="G276" s="5" t="inlineStr">
        <is>
          <t>Live</t>
        </is>
      </c>
    </row>
    <row r="277">
      <c r="A277" s="5" t="inlineStr">
        <is>
          <t>EDG-0273</t>
        </is>
      </c>
      <c r="B277" s="5" t="inlineStr">
        <is>
          <t>import</t>
        </is>
      </c>
      <c r="C277" s="5" t="inlineStr">
        <is>
          <t>MOD-060</t>
        </is>
      </c>
      <c r="D277" s="5" t="inlineStr">
        <is>
          <t>js/v2/OrchestratorHud.js</t>
        </is>
      </c>
      <c r="E277" s="5" t="inlineStr">
        <is>
          <t>MOD-096</t>
        </is>
      </c>
      <c r="F277" s="5" t="inlineStr">
        <is>
          <t>RenderingGovernor.js</t>
        </is>
      </c>
      <c r="G277" s="5" t="inlineStr">
        <is>
          <t>Live</t>
        </is>
      </c>
    </row>
    <row r="278">
      <c r="A278" s="5" t="inlineStr">
        <is>
          <t>EDG-0274</t>
        </is>
      </c>
      <c r="B278" s="5" t="inlineStr">
        <is>
          <t>import</t>
        </is>
      </c>
      <c r="C278" s="5" t="inlineStr">
        <is>
          <t>MOD-060</t>
        </is>
      </c>
      <c r="D278" s="5" t="inlineStr">
        <is>
          <t>js/v2/OrchestratorHud.js</t>
        </is>
      </c>
      <c r="E278" s="5" t="inlineStr">
        <is>
          <t>MOD-103</t>
        </is>
      </c>
      <c r="F278" s="5" t="inlineStr">
        <is>
          <t>constants.js</t>
        </is>
      </c>
      <c r="G278" s="5" t="inlineStr">
        <is>
          <t>Live</t>
        </is>
      </c>
    </row>
    <row r="279">
      <c r="A279" s="5" t="inlineStr">
        <is>
          <t>EDG-0275</t>
        </is>
      </c>
      <c r="B279" s="5" t="inlineStr">
        <is>
          <t>global-write</t>
        </is>
      </c>
      <c r="C279" s="5" t="inlineStr">
        <is>
          <t>MOD-060</t>
        </is>
      </c>
      <c r="D279" s="5" t="inlineStr">
        <is>
          <t>js/v2/OrchestratorHud.js</t>
        </is>
      </c>
      <c r="E279" s="5" t="inlineStr">
        <is>
          <t>window._v2SyncVillageViewRightStack</t>
        </is>
      </c>
      <c r="F279" s="5" t="inlineStr"/>
      <c r="G279" s="5" t="inlineStr">
        <is>
          <t>Live</t>
        </is>
      </c>
    </row>
    <row r="280">
      <c r="A280" s="5" t="inlineStr">
        <is>
          <t>EDG-0276</t>
        </is>
      </c>
      <c r="B280" s="5" t="inlineStr">
        <is>
          <t>global-write</t>
        </is>
      </c>
      <c r="C280" s="5" t="inlineStr">
        <is>
          <t>MOD-060</t>
        </is>
      </c>
      <c r="D280" s="5" t="inlineStr">
        <is>
          <t>js/v2/OrchestratorHud.js</t>
        </is>
      </c>
      <c r="E280" s="5" t="inlineStr">
        <is>
          <t>window._v4GetPipelineTrace</t>
        </is>
      </c>
      <c r="F280" s="5" t="inlineStr"/>
      <c r="G280" s="5" t="inlineStr">
        <is>
          <t>Live</t>
        </is>
      </c>
    </row>
    <row r="281">
      <c r="A281" s="5" t="inlineStr">
        <is>
          <t>EDG-0277</t>
        </is>
      </c>
      <c r="B281" s="5" t="inlineStr">
        <is>
          <t>service-use</t>
        </is>
      </c>
      <c r="C281" s="5" t="inlineStr">
        <is>
          <t>MOD-060</t>
        </is>
      </c>
      <c r="D281" s="5" t="inlineStr">
        <is>
          <t>js/v2/OrchestratorHud.js</t>
        </is>
      </c>
      <c r="E281" s="5" t="inlineStr">
        <is>
          <t>service:WebFontsService</t>
        </is>
      </c>
      <c r="F281" s="5" t="inlineStr"/>
      <c r="G281" s="5" t="inlineStr">
        <is>
          <t>Live</t>
        </is>
      </c>
    </row>
    <row r="282">
      <c r="A282" s="5" t="inlineStr">
        <is>
          <t>EDG-0278</t>
        </is>
      </c>
      <c r="B282" s="5" t="inlineStr">
        <is>
          <t>import</t>
        </is>
      </c>
      <c r="C282" s="5" t="inlineStr">
        <is>
          <t>MOD-062</t>
        </is>
      </c>
      <c r="D282" s="5" t="inlineStr">
        <is>
          <t>js/v2/TipiCampfire.js</t>
        </is>
      </c>
      <c r="E282" s="5" t="inlineStr">
        <is>
          <t>MOD-098</t>
        </is>
      </c>
      <c r="F282" s="5" t="inlineStr">
        <is>
          <t>SimulationController.js</t>
        </is>
      </c>
      <c r="G282" s="5" t="inlineStr">
        <is>
          <t>Live</t>
        </is>
      </c>
    </row>
    <row r="283">
      <c r="A283" s="5" t="inlineStr">
        <is>
          <t>EDG-0279</t>
        </is>
      </c>
      <c r="B283" s="5" t="inlineStr">
        <is>
          <t>import</t>
        </is>
      </c>
      <c r="C283" s="5" t="inlineStr">
        <is>
          <t>MOD-062</t>
        </is>
      </c>
      <c r="D283" s="5" t="inlineStr">
        <is>
          <t>js/v2/TipiCampfire.js</t>
        </is>
      </c>
      <c r="E283" s="5" t="inlineStr">
        <is>
          <t>MOD-103</t>
        </is>
      </c>
      <c r="F283" s="5" t="inlineStr">
        <is>
          <t>constants.js</t>
        </is>
      </c>
      <c r="G283" s="5" t="inlineStr">
        <is>
          <t>Live</t>
        </is>
      </c>
    </row>
    <row r="284">
      <c r="A284" s="5" t="inlineStr">
        <is>
          <t>EDG-0280</t>
        </is>
      </c>
      <c r="B284" s="5" t="inlineStr">
        <is>
          <t>import</t>
        </is>
      </c>
      <c r="C284" s="5" t="inlineStr">
        <is>
          <t>MOD-063</t>
        </is>
      </c>
      <c r="D284" s="5" t="inlineStr">
        <is>
          <t>js/v2/Trees.js</t>
        </is>
      </c>
      <c r="E284" s="5" t="inlineStr">
        <is>
          <t>MOD-055</t>
        </is>
      </c>
      <c r="F284" s="5" t="inlineStr">
        <is>
          <t>Flora.js</t>
        </is>
      </c>
      <c r="G284" s="5" t="inlineStr">
        <is>
          <t>Legacy/unused</t>
        </is>
      </c>
    </row>
    <row r="285">
      <c r="A285" s="5" t="inlineStr">
        <is>
          <t>EDG-0281</t>
        </is>
      </c>
      <c r="B285" s="5" t="inlineStr">
        <is>
          <t>import</t>
        </is>
      </c>
      <c r="C285" s="5" t="inlineStr">
        <is>
          <t>MOD-064</t>
        </is>
      </c>
      <c r="D285" s="5" t="inlineStr">
        <is>
          <t>js/v2/UIModule.js</t>
        </is>
      </c>
      <c r="E285" s="5" t="inlineStr">
        <is>
          <t>MOD-061</t>
        </is>
      </c>
      <c r="F285" s="5" t="inlineStr">
        <is>
          <t>RuntimeServices.js</t>
        </is>
      </c>
      <c r="G285" s="5" t="inlineStr">
        <is>
          <t>Live</t>
        </is>
      </c>
    </row>
    <row r="286">
      <c r="A286" s="5" t="inlineStr">
        <is>
          <t>EDG-0282</t>
        </is>
      </c>
      <c r="B286" s="5" t="inlineStr">
        <is>
          <t>import</t>
        </is>
      </c>
      <c r="C286" s="5" t="inlineStr">
        <is>
          <t>MOD-064</t>
        </is>
      </c>
      <c r="D286" s="5" t="inlineStr">
        <is>
          <t>js/v2/UIModule.js</t>
        </is>
      </c>
      <c r="E286" s="5" t="inlineStr">
        <is>
          <t>MOD-092</t>
        </is>
      </c>
      <c r="F286" s="5" t="inlineStr">
        <is>
          <t>FrameBudget.js</t>
        </is>
      </c>
      <c r="G286" s="5" t="inlineStr">
        <is>
          <t>Live</t>
        </is>
      </c>
    </row>
    <row r="287">
      <c r="A287" s="5" t="inlineStr">
        <is>
          <t>EDG-0283</t>
        </is>
      </c>
      <c r="B287" s="5" t="inlineStr">
        <is>
          <t>import</t>
        </is>
      </c>
      <c r="C287" s="5" t="inlineStr">
        <is>
          <t>MOD-064</t>
        </is>
      </c>
      <c r="D287" s="5" t="inlineStr">
        <is>
          <t>js/v2/UIModule.js</t>
        </is>
      </c>
      <c r="E287" s="5" t="inlineStr">
        <is>
          <t>MOD-106</t>
        </is>
      </c>
      <c r="F287" s="5" t="inlineStr">
        <is>
          <t>pipCompassMath.js</t>
        </is>
      </c>
      <c r="G287" s="5" t="inlineStr">
        <is>
          <t>Live</t>
        </is>
      </c>
    </row>
    <row r="288">
      <c r="A288" s="5" t="inlineStr">
        <is>
          <t>EDG-0284</t>
        </is>
      </c>
      <c r="B288" s="5" t="inlineStr">
        <is>
          <t>service-register</t>
        </is>
      </c>
      <c r="C288" s="5" t="inlineStr">
        <is>
          <t>MOD-064</t>
        </is>
      </c>
      <c r="D288" s="5" t="inlineStr">
        <is>
          <t>js/v2/UIModule.js</t>
        </is>
      </c>
      <c r="E288" s="5" t="inlineStr">
        <is>
          <t>service:WebFontsService</t>
        </is>
      </c>
      <c r="F288" s="5" t="inlineStr"/>
      <c r="G288" s="5" t="inlineStr">
        <is>
          <t>Live</t>
        </is>
      </c>
    </row>
    <row r="289">
      <c r="A289" s="5" t="inlineStr">
        <is>
          <t>EDG-0285</t>
        </is>
      </c>
      <c r="B289" s="5" t="inlineStr">
        <is>
          <t>service-use</t>
        </is>
      </c>
      <c r="C289" s="5" t="inlineStr">
        <is>
          <t>MOD-064</t>
        </is>
      </c>
      <c r="D289" s="5" t="inlineStr">
        <is>
          <t>js/v2/UIModule.js</t>
        </is>
      </c>
      <c r="E289" s="5" t="inlineStr">
        <is>
          <t>service:WorldPlayer</t>
        </is>
      </c>
      <c r="F289" s="5" t="inlineStr"/>
      <c r="G289" s="5" t="inlineStr">
        <is>
          <t>Live</t>
        </is>
      </c>
    </row>
    <row r="290">
      <c r="A290" s="5" t="inlineStr">
        <is>
          <t>EDG-0286</t>
        </is>
      </c>
      <c r="B290" s="5" t="inlineStr">
        <is>
          <t>postMessage</t>
        </is>
      </c>
      <c r="C290" s="5" t="inlineStr">
        <is>
          <t>MOD-064</t>
        </is>
      </c>
      <c r="D290" s="5" t="inlineStr">
        <is>
          <t>js/v2/UIModule.js</t>
        </is>
      </c>
      <c r="E290" s="5" t="inlineStr">
        <is>
          <t>msg:TOGGLE_VIEW_MODE</t>
        </is>
      </c>
      <c r="F290" s="5" t="inlineStr"/>
      <c r="G290" s="5" t="inlineStr">
        <is>
          <t>Live</t>
        </is>
      </c>
    </row>
    <row r="291">
      <c r="A291" s="5" t="inlineStr">
        <is>
          <t>EDG-0287</t>
        </is>
      </c>
      <c r="B291" s="5" t="inlineStr">
        <is>
          <t>import</t>
        </is>
      </c>
      <c r="C291" s="5" t="inlineStr">
        <is>
          <t>MOD-065</t>
        </is>
      </c>
      <c r="D291" s="5" t="inlineStr">
        <is>
          <t>js/v2/UniverseModule.js</t>
        </is>
      </c>
      <c r="E291" s="5" t="inlineStr">
        <is>
          <t>MOD-049</t>
        </is>
      </c>
      <c r="F291" s="5" t="inlineStr">
        <is>
          <t>AnuModule.js</t>
        </is>
      </c>
      <c r="G291" s="5" t="inlineStr">
        <is>
          <t>Legacy/unused</t>
        </is>
      </c>
    </row>
    <row r="292">
      <c r="A292" s="5" t="inlineStr">
        <is>
          <t>EDG-0288</t>
        </is>
      </c>
      <c r="B292" s="5" t="inlineStr">
        <is>
          <t>import</t>
        </is>
      </c>
      <c r="C292" s="5" t="inlineStr">
        <is>
          <t>MOD-067</t>
        </is>
      </c>
      <c r="D292" s="5" t="inlineStr">
        <is>
          <t>js/v2/V2Panel.js</t>
        </is>
      </c>
      <c r="E292" s="5" t="inlineStr">
        <is>
          <t>MOD-061</t>
        </is>
      </c>
      <c r="F292" s="5" t="inlineStr">
        <is>
          <t>RuntimeServices.js</t>
        </is>
      </c>
      <c r="G292" s="5" t="inlineStr">
        <is>
          <t>Legacy/unused</t>
        </is>
      </c>
    </row>
    <row r="293">
      <c r="A293" s="5" t="inlineStr">
        <is>
          <t>EDG-0289</t>
        </is>
      </c>
      <c r="B293" s="5" t="inlineStr">
        <is>
          <t>import</t>
        </is>
      </c>
      <c r="C293" s="5" t="inlineStr">
        <is>
          <t>MOD-067</t>
        </is>
      </c>
      <c r="D293" s="5" t="inlineStr">
        <is>
          <t>js/v2/V2Panel.js</t>
        </is>
      </c>
      <c r="E293" s="5" t="inlineStr">
        <is>
          <t>MOD-066</t>
        </is>
      </c>
      <c r="F293" s="5" t="inlineStr">
        <is>
          <t>V2IconRenderer.js</t>
        </is>
      </c>
      <c r="G293" s="5" t="inlineStr">
        <is>
          <t>Legacy/unused</t>
        </is>
      </c>
    </row>
    <row r="294">
      <c r="A294" s="5" t="inlineStr">
        <is>
          <t>EDG-0290</t>
        </is>
      </c>
      <c r="B294" s="5" t="inlineStr">
        <is>
          <t>import</t>
        </is>
      </c>
      <c r="C294" s="5" t="inlineStr">
        <is>
          <t>MOD-067</t>
        </is>
      </c>
      <c r="D294" s="5" t="inlineStr">
        <is>
          <t>js/v2/V2Panel.js</t>
        </is>
      </c>
      <c r="E294" s="5" t="inlineStr">
        <is>
          <t>MOD-103</t>
        </is>
      </c>
      <c r="F294" s="5" t="inlineStr">
        <is>
          <t>constants.js</t>
        </is>
      </c>
      <c r="G294" s="5" t="inlineStr">
        <is>
          <t>Legacy/unused</t>
        </is>
      </c>
    </row>
    <row r="295">
      <c r="A295" s="5" t="inlineStr">
        <is>
          <t>EDG-0291</t>
        </is>
      </c>
      <c r="B295" s="5" t="inlineStr">
        <is>
          <t>import</t>
        </is>
      </c>
      <c r="C295" s="5" t="inlineStr">
        <is>
          <t>MOD-067</t>
        </is>
      </c>
      <c r="D295" s="5" t="inlineStr">
        <is>
          <t>js/v2/V2Panel.js</t>
        </is>
      </c>
      <c r="E295" s="5" t="inlineStr">
        <is>
          <t>MOD-104</t>
        </is>
      </c>
      <c r="F295" s="5" t="inlineStr">
        <is>
          <t>gltfLoaderSetup.js</t>
        </is>
      </c>
      <c r="G295" s="5" t="inlineStr">
        <is>
          <t>Legacy/unused</t>
        </is>
      </c>
    </row>
    <row r="296">
      <c r="A296" s="5" t="inlineStr">
        <is>
          <t>EDG-0292</t>
        </is>
      </c>
      <c r="B296" s="5" t="inlineStr">
        <is>
          <t>global-write</t>
        </is>
      </c>
      <c r="C296" s="5" t="inlineStr">
        <is>
          <t>MOD-067</t>
        </is>
      </c>
      <c r="D296" s="5" t="inlineStr">
        <is>
          <t>js/v2/V2Panel.js</t>
        </is>
      </c>
      <c r="E296" s="5" t="inlineStr">
        <is>
          <t>window.AXE_GLB_BASE64</t>
        </is>
      </c>
      <c r="F296" s="5" t="inlineStr"/>
      <c r="G296" s="5" t="inlineStr">
        <is>
          <t>Legacy/unused</t>
        </is>
      </c>
    </row>
    <row r="297">
      <c r="A297" s="5" t="inlineStr">
        <is>
          <t>EDG-0293</t>
        </is>
      </c>
      <c r="B297" s="5" t="inlineStr">
        <is>
          <t>global-write</t>
        </is>
      </c>
      <c r="C297" s="5" t="inlineStr">
        <is>
          <t>MOD-067</t>
        </is>
      </c>
      <c r="D297" s="5" t="inlineStr">
        <is>
          <t>js/v2/V2Panel.js</t>
        </is>
      </c>
      <c r="E297" s="5" t="inlineStr">
        <is>
          <t>window.THREE</t>
        </is>
      </c>
      <c r="F297" s="5" t="inlineStr"/>
      <c r="G297" s="5" t="inlineStr">
        <is>
          <t>Legacy/unused</t>
        </is>
      </c>
    </row>
    <row r="298">
      <c r="A298" s="5" t="inlineStr">
        <is>
          <t>EDG-0294</t>
        </is>
      </c>
      <c r="B298" s="5" t="inlineStr">
        <is>
          <t>global-write</t>
        </is>
      </c>
      <c r="C298" s="5" t="inlineStr">
        <is>
          <t>MOD-067</t>
        </is>
      </c>
      <c r="D298" s="5" t="inlineStr">
        <is>
          <t>js/v2/V2Panel.js</t>
        </is>
      </c>
      <c r="E298" s="5" t="inlineStr">
        <is>
          <t>window.icons</t>
        </is>
      </c>
      <c r="F298" s="5" t="inlineStr"/>
      <c r="G298" s="5" t="inlineStr">
        <is>
          <t>Legacy/unused</t>
        </is>
      </c>
    </row>
    <row r="299">
      <c r="A299" s="5" t="inlineStr">
        <is>
          <t>EDG-0295</t>
        </is>
      </c>
      <c r="B299" s="5" t="inlineStr">
        <is>
          <t>service-use</t>
        </is>
      </c>
      <c r="C299" s="5" t="inlineStr">
        <is>
          <t>MOD-067</t>
        </is>
      </c>
      <c r="D299" s="5" t="inlineStr">
        <is>
          <t>js/v2/V2Panel.js</t>
        </is>
      </c>
      <c r="E299" s="5" t="inlineStr">
        <is>
          <t>service:WebFontsService</t>
        </is>
      </c>
      <c r="F299" s="5" t="inlineStr"/>
      <c r="G299" s="5" t="inlineStr">
        <is>
          <t>Legacy/unused</t>
        </is>
      </c>
    </row>
    <row r="300">
      <c r="A300" s="5" t="inlineStr">
        <is>
          <t>EDG-0296</t>
        </is>
      </c>
      <c r="B300" s="5" t="inlineStr">
        <is>
          <t>service-use</t>
        </is>
      </c>
      <c r="C300" s="5" t="inlineStr">
        <is>
          <t>MOD-067</t>
        </is>
      </c>
      <c r="D300" s="5" t="inlineStr">
        <is>
          <t>js/v2/V2Panel.js</t>
        </is>
      </c>
      <c r="E300" s="5" t="inlineStr">
        <is>
          <t>service:WorldPlayer</t>
        </is>
      </c>
      <c r="F300" s="5" t="inlineStr"/>
      <c r="G300" s="5" t="inlineStr">
        <is>
          <t>Legacy/unused</t>
        </is>
      </c>
    </row>
    <row r="301">
      <c r="A301" s="5" t="inlineStr">
        <is>
          <t>EDG-0297</t>
        </is>
      </c>
      <c r="B301" s="5" t="inlineStr">
        <is>
          <t>import</t>
        </is>
      </c>
      <c r="C301" s="5" t="inlineStr">
        <is>
          <t>MOD-068</t>
        </is>
      </c>
      <c r="D301" s="5" t="inlineStr">
        <is>
          <t>js/v2/VillageBuilder.js</t>
        </is>
      </c>
      <c r="E301" s="5" t="inlineStr">
        <is>
          <t>MOD-061</t>
        </is>
      </c>
      <c r="F301" s="5" t="inlineStr">
        <is>
          <t>RuntimeServices.js</t>
        </is>
      </c>
      <c r="G301" s="5" t="inlineStr">
        <is>
          <t>Legacy/unused</t>
        </is>
      </c>
    </row>
    <row r="302">
      <c r="A302" s="5" t="inlineStr">
        <is>
          <t>EDG-0298</t>
        </is>
      </c>
      <c r="B302" s="5" t="inlineStr">
        <is>
          <t>import</t>
        </is>
      </c>
      <c r="C302" s="5" t="inlineStr">
        <is>
          <t>MOD-068</t>
        </is>
      </c>
      <c r="D302" s="5" t="inlineStr">
        <is>
          <t>js/v2/VillageBuilder.js</t>
        </is>
      </c>
      <c r="E302" s="5" t="inlineStr">
        <is>
          <t>MOD-083</t>
        </is>
      </c>
      <c r="F302" s="5" t="inlineStr">
        <is>
          <t>WorldTerrain.js</t>
        </is>
      </c>
      <c r="G302" s="5" t="inlineStr">
        <is>
          <t>Legacy/unused</t>
        </is>
      </c>
    </row>
    <row r="303">
      <c r="A303" s="5" t="inlineStr">
        <is>
          <t>EDG-0299</t>
        </is>
      </c>
      <c r="B303" s="5" t="inlineStr">
        <is>
          <t>import</t>
        </is>
      </c>
      <c r="C303" s="5" t="inlineStr">
        <is>
          <t>MOD-068</t>
        </is>
      </c>
      <c r="D303" s="5" t="inlineStr">
        <is>
          <t>js/v2/VillageBuilder.js</t>
        </is>
      </c>
      <c r="E303" s="5" t="inlineStr">
        <is>
          <t>MOD-098</t>
        </is>
      </c>
      <c r="F303" s="5" t="inlineStr">
        <is>
          <t>SimulationController.js</t>
        </is>
      </c>
      <c r="G303" s="5" t="inlineStr">
        <is>
          <t>Legacy/unused</t>
        </is>
      </c>
    </row>
    <row r="304">
      <c r="A304" s="5" t="inlineStr">
        <is>
          <t>EDG-0300</t>
        </is>
      </c>
      <c r="B304" s="5" t="inlineStr">
        <is>
          <t>import</t>
        </is>
      </c>
      <c r="C304" s="5" t="inlineStr">
        <is>
          <t>MOD-068</t>
        </is>
      </c>
      <c r="D304" s="5" t="inlineStr">
        <is>
          <t>js/v2/VillageBuilder.js</t>
        </is>
      </c>
      <c r="E304" s="5" t="inlineStr">
        <is>
          <t>MOD-103</t>
        </is>
      </c>
      <c r="F304" s="5" t="inlineStr">
        <is>
          <t>constants.js</t>
        </is>
      </c>
      <c r="G304" s="5" t="inlineStr">
        <is>
          <t>Legacy/unused</t>
        </is>
      </c>
    </row>
    <row r="305">
      <c r="A305" s="5" t="inlineStr">
        <is>
          <t>EDG-0301</t>
        </is>
      </c>
      <c r="B305" s="5" t="inlineStr">
        <is>
          <t>import</t>
        </is>
      </c>
      <c r="C305" s="5" t="inlineStr">
        <is>
          <t>MOD-068</t>
        </is>
      </c>
      <c r="D305" s="5" t="inlineStr">
        <is>
          <t>js/v2/VillageBuilder.js</t>
        </is>
      </c>
      <c r="E305" s="5" t="inlineStr">
        <is>
          <t>MOD-104</t>
        </is>
      </c>
      <c r="F305" s="5" t="inlineStr">
        <is>
          <t>gltfLoaderSetup.js</t>
        </is>
      </c>
      <c r="G305" s="5" t="inlineStr">
        <is>
          <t>Legacy/unused</t>
        </is>
      </c>
    </row>
    <row r="306">
      <c r="A306" s="5" t="inlineStr">
        <is>
          <t>EDG-0302</t>
        </is>
      </c>
      <c r="B306" s="5" t="inlineStr">
        <is>
          <t>service-use</t>
        </is>
      </c>
      <c r="C306" s="5" t="inlineStr">
        <is>
          <t>MOD-068</t>
        </is>
      </c>
      <c r="D306" s="5" t="inlineStr">
        <is>
          <t>js/v2/VillageBuilder.js</t>
        </is>
      </c>
      <c r="E306" s="5" t="inlineStr">
        <is>
          <t>service:WorldPlayer</t>
        </is>
      </c>
      <c r="F306" s="5" t="inlineStr"/>
      <c r="G306" s="5" t="inlineStr">
        <is>
          <t>Legacy/unused</t>
        </is>
      </c>
    </row>
    <row r="307">
      <c r="A307" s="5" t="inlineStr">
        <is>
          <t>EDG-0303</t>
        </is>
      </c>
      <c r="B307" s="5" t="inlineStr">
        <is>
          <t>asset</t>
        </is>
      </c>
      <c r="C307" s="5" t="inlineStr">
        <is>
          <t>MOD-068</t>
        </is>
      </c>
      <c r="D307" s="5" t="inlineStr">
        <is>
          <t>js/v2/VillageBuilder.js</t>
        </is>
      </c>
      <c r="E307" s="5" t="inlineStr">
        <is>
          <t>Assets/Tipi.yellowbutterfly/tipi.yellowbutterfly.glb</t>
        </is>
      </c>
      <c r="F307" s="5" t="inlineStr"/>
      <c r="G307" s="5" t="inlineStr">
        <is>
          <t>Legacy/unused</t>
        </is>
      </c>
    </row>
    <row r="308">
      <c r="A308" s="5" t="inlineStr">
        <is>
          <t>EDG-0304</t>
        </is>
      </c>
      <c r="B308" s="5" t="inlineStr">
        <is>
          <t>import</t>
        </is>
      </c>
      <c r="C308" s="5" t="inlineStr">
        <is>
          <t>MOD-069</t>
        </is>
      </c>
      <c r="D308" s="5" t="inlineStr">
        <is>
          <t>js/v2/World.js</t>
        </is>
      </c>
      <c r="E308" s="5" t="inlineStr">
        <is>
          <t>MOD-052</t>
        </is>
      </c>
      <c r="F308" s="5" t="inlineStr">
        <is>
          <t>ClickToMoveMarker.js</t>
        </is>
      </c>
      <c r="G308" s="5" t="inlineStr">
        <is>
          <t>Legacy/unused</t>
        </is>
      </c>
    </row>
    <row r="309">
      <c r="A309" s="5" t="inlineStr">
        <is>
          <t>EDG-0305</t>
        </is>
      </c>
      <c r="B309" s="5" t="inlineStr">
        <is>
          <t>import</t>
        </is>
      </c>
      <c r="C309" s="5" t="inlineStr">
        <is>
          <t>MOD-069</t>
        </is>
      </c>
      <c r="D309" s="5" t="inlineStr">
        <is>
          <t>js/v2/World.js</t>
        </is>
      </c>
      <c r="E309" s="5" t="inlineStr">
        <is>
          <t>MOD-057</t>
        </is>
      </c>
      <c r="F309" s="5" t="inlineStr">
        <is>
          <t>MapsConfig.js</t>
        </is>
      </c>
      <c r="G309" s="5" t="inlineStr">
        <is>
          <t>Legacy/unused</t>
        </is>
      </c>
    </row>
    <row r="310">
      <c r="A310" s="5" t="inlineStr">
        <is>
          <t>EDG-0306</t>
        </is>
      </c>
      <c r="B310" s="5" t="inlineStr">
        <is>
          <t>import</t>
        </is>
      </c>
      <c r="C310" s="5" t="inlineStr">
        <is>
          <t>MOD-069</t>
        </is>
      </c>
      <c r="D310" s="5" t="inlineStr">
        <is>
          <t>js/v2/World.js</t>
        </is>
      </c>
      <c r="E310" s="5" t="inlineStr">
        <is>
          <t>MOD-061</t>
        </is>
      </c>
      <c r="F310" s="5" t="inlineStr">
        <is>
          <t>RuntimeServices.js</t>
        </is>
      </c>
      <c r="G310" s="5" t="inlineStr">
        <is>
          <t>Legacy/unused</t>
        </is>
      </c>
    </row>
    <row r="311">
      <c r="A311" s="5" t="inlineStr">
        <is>
          <t>EDG-0307</t>
        </is>
      </c>
      <c r="B311" s="5" t="inlineStr">
        <is>
          <t>import</t>
        </is>
      </c>
      <c r="C311" s="5" t="inlineStr">
        <is>
          <t>MOD-069</t>
        </is>
      </c>
      <c r="D311" s="5" t="inlineStr">
        <is>
          <t>js/v2/World.js</t>
        </is>
      </c>
      <c r="E311" s="5" t="inlineStr">
        <is>
          <t>MOD-070</t>
        </is>
      </c>
      <c r="F311" s="5" t="inlineStr">
        <is>
          <t>WorldAvatar.js</t>
        </is>
      </c>
      <c r="G311" s="5" t="inlineStr">
        <is>
          <t>Legacy/unused</t>
        </is>
      </c>
    </row>
    <row r="312">
      <c r="A312" s="5" t="inlineStr">
        <is>
          <t>EDG-0308</t>
        </is>
      </c>
      <c r="B312" s="5" t="inlineStr">
        <is>
          <t>import</t>
        </is>
      </c>
      <c r="C312" s="5" t="inlineStr">
        <is>
          <t>MOD-069</t>
        </is>
      </c>
      <c r="D312" s="5" t="inlineStr">
        <is>
          <t>js/v2/World.js</t>
        </is>
      </c>
      <c r="E312" s="5" t="inlineStr">
        <is>
          <t>MOD-071</t>
        </is>
      </c>
      <c r="F312" s="5" t="inlineStr">
        <is>
          <t>WorldCelestial.js</t>
        </is>
      </c>
      <c r="G312" s="5" t="inlineStr">
        <is>
          <t>Legacy/unused</t>
        </is>
      </c>
    </row>
    <row r="313">
      <c r="A313" s="5" t="inlineStr">
        <is>
          <t>EDG-0309</t>
        </is>
      </c>
      <c r="B313" s="5" t="inlineStr">
        <is>
          <t>import</t>
        </is>
      </c>
      <c r="C313" s="5" t="inlineStr">
        <is>
          <t>MOD-069</t>
        </is>
      </c>
      <c r="D313" s="5" t="inlineStr">
        <is>
          <t>js/v2/World.js</t>
        </is>
      </c>
      <c r="E313" s="5" t="inlineStr">
        <is>
          <t>MOD-075</t>
        </is>
      </c>
      <c r="F313" s="5" t="inlineStr">
        <is>
          <t>WorldNatureSpirit.js</t>
        </is>
      </c>
      <c r="G313" s="5" t="inlineStr">
        <is>
          <t>Legacy/unused</t>
        </is>
      </c>
    </row>
    <row r="314">
      <c r="A314" s="5" t="inlineStr">
        <is>
          <t>EDG-0310</t>
        </is>
      </c>
      <c r="B314" s="5" t="inlineStr">
        <is>
          <t>import</t>
        </is>
      </c>
      <c r="C314" s="5" t="inlineStr">
        <is>
          <t>MOD-069</t>
        </is>
      </c>
      <c r="D314" s="5" t="inlineStr">
        <is>
          <t>js/v2/World.js</t>
        </is>
      </c>
      <c r="E314" s="5" t="inlineStr">
        <is>
          <t>MOD-076</t>
        </is>
      </c>
      <c r="F314" s="5" t="inlineStr">
        <is>
          <t>WorldPhysics.js</t>
        </is>
      </c>
      <c r="G314" s="5" t="inlineStr">
        <is>
          <t>Legacy/unused</t>
        </is>
      </c>
    </row>
    <row r="315">
      <c r="A315" s="5" t="inlineStr">
        <is>
          <t>EDG-0311</t>
        </is>
      </c>
      <c r="B315" s="5" t="inlineStr">
        <is>
          <t>import</t>
        </is>
      </c>
      <c r="C315" s="5" t="inlineStr">
        <is>
          <t>MOD-069</t>
        </is>
      </c>
      <c r="D315" s="5" t="inlineStr">
        <is>
          <t>js/v2/World.js</t>
        </is>
      </c>
      <c r="E315" s="5" t="inlineStr">
        <is>
          <t>MOD-077</t>
        </is>
      </c>
      <c r="F315" s="5" t="inlineStr">
        <is>
          <t>WorldPlayerController.js</t>
        </is>
      </c>
      <c r="G315" s="5" t="inlineStr">
        <is>
          <t>Legacy/unused</t>
        </is>
      </c>
    </row>
    <row r="316">
      <c r="A316" s="5" t="inlineStr">
        <is>
          <t>EDG-0312</t>
        </is>
      </c>
      <c r="B316" s="5" t="inlineStr">
        <is>
          <t>import</t>
        </is>
      </c>
      <c r="C316" s="5" t="inlineStr">
        <is>
          <t>MOD-069</t>
        </is>
      </c>
      <c r="D316" s="5" t="inlineStr">
        <is>
          <t>js/v2/World.js</t>
        </is>
      </c>
      <c r="E316" s="5" t="inlineStr">
        <is>
          <t>MOD-082</t>
        </is>
      </c>
      <c r="F316" s="5" t="inlineStr">
        <is>
          <t>WorldStructures.js</t>
        </is>
      </c>
      <c r="G316" s="5" t="inlineStr">
        <is>
          <t>Legacy/unused</t>
        </is>
      </c>
    </row>
    <row r="317">
      <c r="A317" s="5" t="inlineStr">
        <is>
          <t>EDG-0313</t>
        </is>
      </c>
      <c r="B317" s="5" t="inlineStr">
        <is>
          <t>import</t>
        </is>
      </c>
      <c r="C317" s="5" t="inlineStr">
        <is>
          <t>MOD-069</t>
        </is>
      </c>
      <c r="D317" s="5" t="inlineStr">
        <is>
          <t>js/v2/World.js</t>
        </is>
      </c>
      <c r="E317" s="5" t="inlineStr">
        <is>
          <t>MOD-083</t>
        </is>
      </c>
      <c r="F317" s="5" t="inlineStr">
        <is>
          <t>WorldTerrain.js</t>
        </is>
      </c>
      <c r="G317" s="5" t="inlineStr">
        <is>
          <t>Legacy/unused</t>
        </is>
      </c>
    </row>
    <row r="318">
      <c r="A318" s="5" t="inlineStr">
        <is>
          <t>EDG-0314</t>
        </is>
      </c>
      <c r="B318" s="5" t="inlineStr">
        <is>
          <t>import</t>
        </is>
      </c>
      <c r="C318" s="5" t="inlineStr">
        <is>
          <t>MOD-069</t>
        </is>
      </c>
      <c r="D318" s="5" t="inlineStr">
        <is>
          <t>js/v2/World.js</t>
        </is>
      </c>
      <c r="E318" s="5" t="inlineStr">
        <is>
          <t>MOD-093</t>
        </is>
      </c>
      <c r="F318" s="5" t="inlineStr">
        <is>
          <t>InteractionBus.js</t>
        </is>
      </c>
      <c r="G318" s="5" t="inlineStr">
        <is>
          <t>Legacy/unused</t>
        </is>
      </c>
    </row>
    <row r="319">
      <c r="A319" s="5" t="inlineStr">
        <is>
          <t>EDG-0315</t>
        </is>
      </c>
      <c r="B319" s="5" t="inlineStr">
        <is>
          <t>import</t>
        </is>
      </c>
      <c r="C319" s="5" t="inlineStr">
        <is>
          <t>MOD-069</t>
        </is>
      </c>
      <c r="D319" s="5" t="inlineStr">
        <is>
          <t>js/v2/World.js</t>
        </is>
      </c>
      <c r="E319" s="5" t="inlineStr">
        <is>
          <t>MOD-098</t>
        </is>
      </c>
      <c r="F319" s="5" t="inlineStr">
        <is>
          <t>SimulationController.js</t>
        </is>
      </c>
      <c r="G319" s="5" t="inlineStr">
        <is>
          <t>Legacy/unused</t>
        </is>
      </c>
    </row>
    <row r="320">
      <c r="A320" s="5" t="inlineStr">
        <is>
          <t>EDG-0316</t>
        </is>
      </c>
      <c r="B320" s="5" t="inlineStr">
        <is>
          <t>import</t>
        </is>
      </c>
      <c r="C320" s="5" t="inlineStr">
        <is>
          <t>MOD-069</t>
        </is>
      </c>
      <c r="D320" s="5" t="inlineStr">
        <is>
          <t>js/v2/World.js</t>
        </is>
      </c>
      <c r="E320" s="5" t="inlineStr">
        <is>
          <t>MOD-100</t>
        </is>
      </c>
      <c r="F320" s="5" t="inlineStr">
        <is>
          <t>anuEvents.js</t>
        </is>
      </c>
      <c r="G320" s="5" t="inlineStr">
        <is>
          <t>Legacy/unused</t>
        </is>
      </c>
    </row>
    <row r="321">
      <c r="A321" s="5" t="inlineStr">
        <is>
          <t>EDG-0317</t>
        </is>
      </c>
      <c r="B321" s="5" t="inlineStr">
        <is>
          <t>import</t>
        </is>
      </c>
      <c r="C321" s="5" t="inlineStr">
        <is>
          <t>MOD-069</t>
        </is>
      </c>
      <c r="D321" s="5" t="inlineStr">
        <is>
          <t>js/v2/World.js</t>
        </is>
      </c>
      <c r="E321" s="5" t="inlineStr">
        <is>
          <t>MOD-103</t>
        </is>
      </c>
      <c r="F321" s="5" t="inlineStr">
        <is>
          <t>constants.js</t>
        </is>
      </c>
      <c r="G321" s="5" t="inlineStr">
        <is>
          <t>Legacy/unused</t>
        </is>
      </c>
    </row>
    <row r="322">
      <c r="A322" s="5" t="inlineStr">
        <is>
          <t>EDG-0318</t>
        </is>
      </c>
      <c r="B322" s="5" t="inlineStr">
        <is>
          <t>global-write</t>
        </is>
      </c>
      <c r="C322" s="5" t="inlineStr">
        <is>
          <t>MOD-069</t>
        </is>
      </c>
      <c r="D322" s="5" t="inlineStr">
        <is>
          <t>js/v2/World.js</t>
        </is>
      </c>
      <c r="E322" s="5" t="inlineStr">
        <is>
          <t>window.WorldPhysics</t>
        </is>
      </c>
      <c r="F322" s="5" t="inlineStr"/>
      <c r="G322" s="5" t="inlineStr">
        <is>
          <t>Legacy/unused</t>
        </is>
      </c>
    </row>
    <row r="323">
      <c r="A323" s="5" t="inlineStr">
        <is>
          <t>EDG-0319</t>
        </is>
      </c>
      <c r="B323" s="5" t="inlineStr">
        <is>
          <t>global-write</t>
        </is>
      </c>
      <c r="C323" s="5" t="inlineStr">
        <is>
          <t>MOD-069</t>
        </is>
      </c>
      <c r="D323" s="5" t="inlineStr">
        <is>
          <t>js/v2/World.js</t>
        </is>
      </c>
      <c r="E323" s="5" t="inlineStr">
        <is>
          <t>window.WorldPlayer</t>
        </is>
      </c>
      <c r="F323" s="5" t="inlineStr"/>
      <c r="G323" s="5" t="inlineStr">
        <is>
          <t>Legacy/unused</t>
        </is>
      </c>
    </row>
    <row r="324">
      <c r="A324" s="5" t="inlineStr">
        <is>
          <t>EDG-0320</t>
        </is>
      </c>
      <c r="B324" s="5" t="inlineStr">
        <is>
          <t>global-write</t>
        </is>
      </c>
      <c r="C324" s="5" t="inlineStr">
        <is>
          <t>MOD-069</t>
        </is>
      </c>
      <c r="D324" s="5" t="inlineStr">
        <is>
          <t>js/v2/World.js</t>
        </is>
      </c>
      <c r="E324" s="5" t="inlineStr">
        <is>
          <t>window._terrainHeightCache</t>
        </is>
      </c>
      <c r="F324" s="5" t="inlineStr"/>
      <c r="G324" s="5" t="inlineStr">
        <is>
          <t>Legacy/unused</t>
        </is>
      </c>
    </row>
    <row r="325">
      <c r="A325" s="5" t="inlineStr">
        <is>
          <t>EDG-0321</t>
        </is>
      </c>
      <c r="B325" s="5" t="inlineStr">
        <is>
          <t>global-write</t>
        </is>
      </c>
      <c r="C325" s="5" t="inlineStr">
        <is>
          <t>MOD-069</t>
        </is>
      </c>
      <c r="D325" s="5" t="inlineStr">
        <is>
          <t>js/v2/World.js</t>
        </is>
      </c>
      <c r="E325" s="5" t="inlineStr">
        <is>
          <t>window._v2StoneAxeInInventory</t>
        </is>
      </c>
      <c r="F325" s="5" t="inlineStr"/>
      <c r="G325" s="5" t="inlineStr">
        <is>
          <t>Legacy/unused</t>
        </is>
      </c>
    </row>
    <row r="326">
      <c r="A326" s="5" t="inlineStr">
        <is>
          <t>EDG-0322</t>
        </is>
      </c>
      <c r="B326" s="5" t="inlineStr">
        <is>
          <t>anu-event-dispatch</t>
        </is>
      </c>
      <c r="C326" s="5" t="inlineStr">
        <is>
          <t>MOD-069</t>
        </is>
      </c>
      <c r="D326" s="5" t="inlineStr">
        <is>
          <t>js/v2/World.js</t>
        </is>
      </c>
      <c r="E326" s="5" t="inlineStr">
        <is>
          <t>ANU_EVENTS.PLAYER_JUMP</t>
        </is>
      </c>
      <c r="F326" s="5" t="inlineStr"/>
      <c r="G326" s="5" t="inlineStr">
        <is>
          <t>Legacy/unused</t>
        </is>
      </c>
    </row>
    <row r="327">
      <c r="A327" s="5" t="inlineStr">
        <is>
          <t>EDG-0323</t>
        </is>
      </c>
      <c r="B327" s="5" t="inlineStr">
        <is>
          <t>anu-event-dispatch</t>
        </is>
      </c>
      <c r="C327" s="5" t="inlineStr">
        <is>
          <t>MOD-069</t>
        </is>
      </c>
      <c r="D327" s="5" t="inlineStr">
        <is>
          <t>js/v2/World.js</t>
        </is>
      </c>
      <c r="E327" s="5" t="inlineStr">
        <is>
          <t>ANU_EVENTS.PLAYER_STATE_SAMPLE</t>
        </is>
      </c>
      <c r="F327" s="5" t="inlineStr"/>
      <c r="G327" s="5" t="inlineStr">
        <is>
          <t>Legacy/unused</t>
        </is>
      </c>
    </row>
    <row r="328">
      <c r="A328" s="5" t="inlineStr">
        <is>
          <t>EDG-0324</t>
        </is>
      </c>
      <c r="B328" s="5" t="inlineStr">
        <is>
          <t>service-register</t>
        </is>
      </c>
      <c r="C328" s="5" t="inlineStr">
        <is>
          <t>MOD-069</t>
        </is>
      </c>
      <c r="D328" s="5" t="inlineStr">
        <is>
          <t>js/v2/World.js</t>
        </is>
      </c>
      <c r="E328" s="5" t="inlineStr">
        <is>
          <t>service:WorldPhysics</t>
        </is>
      </c>
      <c r="F328" s="5" t="inlineStr"/>
      <c r="G328" s="5" t="inlineStr">
        <is>
          <t>Legacy/unused</t>
        </is>
      </c>
    </row>
    <row r="329">
      <c r="A329" s="5" t="inlineStr">
        <is>
          <t>EDG-0325</t>
        </is>
      </c>
      <c r="B329" s="5" t="inlineStr">
        <is>
          <t>service-register</t>
        </is>
      </c>
      <c r="C329" s="5" t="inlineStr">
        <is>
          <t>MOD-069</t>
        </is>
      </c>
      <c r="D329" s="5" t="inlineStr">
        <is>
          <t>js/v2/World.js</t>
        </is>
      </c>
      <c r="E329" s="5" t="inlineStr">
        <is>
          <t>service:WorldPlayer</t>
        </is>
      </c>
      <c r="F329" s="5" t="inlineStr"/>
      <c r="G329" s="5" t="inlineStr">
        <is>
          <t>Legacy/unused</t>
        </is>
      </c>
    </row>
    <row r="330">
      <c r="A330" s="5" t="inlineStr">
        <is>
          <t>EDG-0326</t>
        </is>
      </c>
      <c r="B330" s="5" t="inlineStr">
        <is>
          <t>asset</t>
        </is>
      </c>
      <c r="C330" s="5" t="inlineStr">
        <is>
          <t>MOD-069</t>
        </is>
      </c>
      <c r="D330" s="5" t="inlineStr">
        <is>
          <t>js/v2/World.js</t>
        </is>
      </c>
      <c r="E330" s="5" t="inlineStr">
        <is>
          <t>Assets/landscape-scenes/terrain/grass-seamless.png</t>
        </is>
      </c>
      <c r="F330" s="5" t="inlineStr"/>
      <c r="G330" s="5" t="inlineStr">
        <is>
          <t>Legacy/unused</t>
        </is>
      </c>
    </row>
    <row r="331">
      <c r="A331" s="5" t="inlineStr">
        <is>
          <t>EDG-0327</t>
        </is>
      </c>
      <c r="B331" s="5" t="inlineStr">
        <is>
          <t>import</t>
        </is>
      </c>
      <c r="C331" s="5" t="inlineStr">
        <is>
          <t>MOD-070</t>
        </is>
      </c>
      <c r="D331" s="5" t="inlineStr">
        <is>
          <t>js/v2/WorldAvatar.js</t>
        </is>
      </c>
      <c r="E331" s="5" t="inlineStr">
        <is>
          <t>MOD-093</t>
        </is>
      </c>
      <c r="F331" s="5" t="inlineStr">
        <is>
          <t>InteractionBus.js</t>
        </is>
      </c>
      <c r="G331" s="5" t="inlineStr">
        <is>
          <t>Legacy/unused</t>
        </is>
      </c>
    </row>
    <row r="332">
      <c r="A332" s="5" t="inlineStr">
        <is>
          <t>EDG-0328</t>
        </is>
      </c>
      <c r="B332" s="5" t="inlineStr">
        <is>
          <t>import</t>
        </is>
      </c>
      <c r="C332" s="5" t="inlineStr">
        <is>
          <t>MOD-070</t>
        </is>
      </c>
      <c r="D332" s="5" t="inlineStr">
        <is>
          <t>js/v2/WorldAvatar.js</t>
        </is>
      </c>
      <c r="E332" s="5" t="inlineStr">
        <is>
          <t>MOD-098</t>
        </is>
      </c>
      <c r="F332" s="5" t="inlineStr">
        <is>
          <t>SimulationController.js</t>
        </is>
      </c>
      <c r="G332" s="5" t="inlineStr">
        <is>
          <t>Legacy/unused</t>
        </is>
      </c>
    </row>
    <row r="333">
      <c r="A333" s="5" t="inlineStr">
        <is>
          <t>EDG-0329</t>
        </is>
      </c>
      <c r="B333" s="5" t="inlineStr">
        <is>
          <t>import</t>
        </is>
      </c>
      <c r="C333" s="5" t="inlineStr">
        <is>
          <t>MOD-070</t>
        </is>
      </c>
      <c r="D333" s="5" t="inlineStr">
        <is>
          <t>js/v2/WorldAvatar.js</t>
        </is>
      </c>
      <c r="E333" s="5" t="inlineStr">
        <is>
          <t>MOD-099</t>
        </is>
      </c>
      <c r="F333" s="5" t="inlineStr">
        <is>
          <t>TravelFloorCircleMaterials.js</t>
        </is>
      </c>
      <c r="G333" s="5" t="inlineStr">
        <is>
          <t>Legacy/unused</t>
        </is>
      </c>
    </row>
    <row r="334">
      <c r="A334" s="5" t="inlineStr">
        <is>
          <t>EDG-0330</t>
        </is>
      </c>
      <c r="B334" s="5" t="inlineStr">
        <is>
          <t>import</t>
        </is>
      </c>
      <c r="C334" s="5" t="inlineStr">
        <is>
          <t>MOD-070</t>
        </is>
      </c>
      <c r="D334" s="5" t="inlineStr">
        <is>
          <t>js/v2/WorldAvatar.js</t>
        </is>
      </c>
      <c r="E334" s="5" t="inlineStr">
        <is>
          <t>MOD-100</t>
        </is>
      </c>
      <c r="F334" s="5" t="inlineStr">
        <is>
          <t>anuEvents.js</t>
        </is>
      </c>
      <c r="G334" s="5" t="inlineStr">
        <is>
          <t>Legacy/unused</t>
        </is>
      </c>
    </row>
    <row r="335">
      <c r="A335" s="5" t="inlineStr">
        <is>
          <t>EDG-0331</t>
        </is>
      </c>
      <c r="B335" s="5" t="inlineStr">
        <is>
          <t>import</t>
        </is>
      </c>
      <c r="C335" s="5" t="inlineStr">
        <is>
          <t>MOD-070</t>
        </is>
      </c>
      <c r="D335" s="5" t="inlineStr">
        <is>
          <t>js/v2/WorldAvatar.js</t>
        </is>
      </c>
      <c r="E335" s="5" t="inlineStr">
        <is>
          <t>MOD-103</t>
        </is>
      </c>
      <c r="F335" s="5" t="inlineStr">
        <is>
          <t>constants.js</t>
        </is>
      </c>
      <c r="G335" s="5" t="inlineStr">
        <is>
          <t>Legacy/unused</t>
        </is>
      </c>
    </row>
    <row r="336">
      <c r="A336" s="5" t="inlineStr">
        <is>
          <t>EDG-0332</t>
        </is>
      </c>
      <c r="B336" s="5" t="inlineStr">
        <is>
          <t>import</t>
        </is>
      </c>
      <c r="C336" s="5" t="inlineStr">
        <is>
          <t>MOD-070</t>
        </is>
      </c>
      <c r="D336" s="5" t="inlineStr">
        <is>
          <t>js/v2/WorldAvatar.js</t>
        </is>
      </c>
      <c r="E336" s="5" t="inlineStr">
        <is>
          <t>MOD-104</t>
        </is>
      </c>
      <c r="F336" s="5" t="inlineStr">
        <is>
          <t>gltfLoaderSetup.js</t>
        </is>
      </c>
      <c r="G336" s="5" t="inlineStr">
        <is>
          <t>Legacy/unused</t>
        </is>
      </c>
    </row>
    <row r="337">
      <c r="A337" s="5" t="inlineStr">
        <is>
          <t>EDG-0333</t>
        </is>
      </c>
      <c r="B337" s="5" t="inlineStr">
        <is>
          <t>anu-event-dispatch</t>
        </is>
      </c>
      <c r="C337" s="5" t="inlineStr">
        <is>
          <t>MOD-070</t>
        </is>
      </c>
      <c r="D337" s="5" t="inlineStr">
        <is>
          <t>js/v2/WorldAvatar.js</t>
        </is>
      </c>
      <c r="E337" s="5" t="inlineStr">
        <is>
          <t>ANU_EVENTS.PLAYER_AVATAR_ANIMATION</t>
        </is>
      </c>
      <c r="F337" s="5" t="inlineStr"/>
      <c r="G337" s="5" t="inlineStr">
        <is>
          <t>Legacy/unused</t>
        </is>
      </c>
    </row>
    <row r="338">
      <c r="A338" s="5" t="inlineStr">
        <is>
          <t>EDG-0334</t>
        </is>
      </c>
      <c r="B338" s="5" t="inlineStr">
        <is>
          <t>asset</t>
        </is>
      </c>
      <c r="C338" s="5" t="inlineStr">
        <is>
          <t>MOD-070</t>
        </is>
      </c>
      <c r="D338" s="5" t="inlineStr">
        <is>
          <t>js/v2/WorldAvatar.js</t>
        </is>
      </c>
      <c r="E338" s="5" t="inlineStr">
        <is>
          <t>Assets/Avatar3.glb</t>
        </is>
      </c>
      <c r="F338" s="5" t="inlineStr"/>
      <c r="G338" s="5" t="inlineStr">
        <is>
          <t>Legacy/unused</t>
        </is>
      </c>
    </row>
    <row r="339">
      <c r="A339" s="5" t="inlineStr">
        <is>
          <t>EDG-0335</t>
        </is>
      </c>
      <c r="B339" s="5" t="inlineStr">
        <is>
          <t>asset</t>
        </is>
      </c>
      <c r="C339" s="5" t="inlineStr">
        <is>
          <t>MOD-070</t>
        </is>
      </c>
      <c r="D339" s="5" t="inlineStr">
        <is>
          <t>js/v2/WorldAvatar.js</t>
        </is>
      </c>
      <c r="E339" s="5" t="inlineStr">
        <is>
          <t>Assets/npc/Avatar-New.glb</t>
        </is>
      </c>
      <c r="F339" s="5" t="inlineStr"/>
      <c r="G339" s="5" t="inlineStr">
        <is>
          <t>Legacy/unused</t>
        </is>
      </c>
    </row>
    <row r="340">
      <c r="A340" s="5" t="inlineStr">
        <is>
          <t>EDG-0336</t>
        </is>
      </c>
      <c r="B340" s="5" t="inlineStr">
        <is>
          <t>import</t>
        </is>
      </c>
      <c r="C340" s="5" t="inlineStr">
        <is>
          <t>MOD-071</t>
        </is>
      </c>
      <c r="D340" s="5" t="inlineStr">
        <is>
          <t>js/v2/WorldCelestial.js</t>
        </is>
      </c>
      <c r="E340" s="5" t="inlineStr">
        <is>
          <t>MOD-093</t>
        </is>
      </c>
      <c r="F340" s="5" t="inlineStr">
        <is>
          <t>InteractionBus.js</t>
        </is>
      </c>
      <c r="G340" s="5" t="inlineStr">
        <is>
          <t>Legacy/unused</t>
        </is>
      </c>
    </row>
    <row r="341">
      <c r="A341" s="5" t="inlineStr">
        <is>
          <t>EDG-0337</t>
        </is>
      </c>
      <c r="B341" s="5" t="inlineStr">
        <is>
          <t>import</t>
        </is>
      </c>
      <c r="C341" s="5" t="inlineStr">
        <is>
          <t>MOD-071</t>
        </is>
      </c>
      <c r="D341" s="5" t="inlineStr">
        <is>
          <t>js/v2/WorldCelestial.js</t>
        </is>
      </c>
      <c r="E341" s="5" t="inlineStr">
        <is>
          <t>MOD-100</t>
        </is>
      </c>
      <c r="F341" s="5" t="inlineStr">
        <is>
          <t>anuEvents.js</t>
        </is>
      </c>
      <c r="G341" s="5" t="inlineStr">
        <is>
          <t>Legacy/unused</t>
        </is>
      </c>
    </row>
    <row r="342">
      <c r="A342" s="5" t="inlineStr">
        <is>
          <t>EDG-0338</t>
        </is>
      </c>
      <c r="B342" s="5" t="inlineStr">
        <is>
          <t>import</t>
        </is>
      </c>
      <c r="C342" s="5" t="inlineStr">
        <is>
          <t>MOD-071</t>
        </is>
      </c>
      <c r="D342" s="5" t="inlineStr">
        <is>
          <t>js/v2/WorldCelestial.js</t>
        </is>
      </c>
      <c r="E342" s="5" t="inlineStr">
        <is>
          <t>MOD-105</t>
        </is>
      </c>
      <c r="F342" s="5" t="inlineStr">
        <is>
          <t>lunarPhase.js</t>
        </is>
      </c>
      <c r="G342" s="5" t="inlineStr">
        <is>
          <t>Legacy/unused</t>
        </is>
      </c>
    </row>
    <row r="343">
      <c r="A343" s="5" t="inlineStr">
        <is>
          <t>EDG-0339</t>
        </is>
      </c>
      <c r="B343" s="5" t="inlineStr">
        <is>
          <t>anu-event-subscribe</t>
        </is>
      </c>
      <c r="C343" s="5" t="inlineStr">
        <is>
          <t>MOD-071</t>
        </is>
      </c>
      <c r="D343" s="5" t="inlineStr">
        <is>
          <t>js/v2/WorldCelestial.js</t>
        </is>
      </c>
      <c r="E343" s="5" t="inlineStr">
        <is>
          <t>ANU_EVENTS.LUNAR_PHASE</t>
        </is>
      </c>
      <c r="F343" s="5" t="inlineStr"/>
      <c r="G343" s="5" t="inlineStr">
        <is>
          <t>Legacy/unused</t>
        </is>
      </c>
    </row>
    <row r="344">
      <c r="A344" s="5" t="inlineStr">
        <is>
          <t>EDG-0340</t>
        </is>
      </c>
      <c r="B344" s="5" t="inlineStr">
        <is>
          <t>anu-event-subscribe</t>
        </is>
      </c>
      <c r="C344" s="5" t="inlineStr">
        <is>
          <t>MOD-071</t>
        </is>
      </c>
      <c r="D344" s="5" t="inlineStr">
        <is>
          <t>js/v2/WorldCelestial.js</t>
        </is>
      </c>
      <c r="E344" s="5" t="inlineStr">
        <is>
          <t>ANU_EVENTS.SEASON_CHANGE</t>
        </is>
      </c>
      <c r="F344" s="5" t="inlineStr"/>
      <c r="G344" s="5" t="inlineStr">
        <is>
          <t>Legacy/unused</t>
        </is>
      </c>
    </row>
    <row r="345">
      <c r="A345" s="5" t="inlineStr">
        <is>
          <t>EDG-0341</t>
        </is>
      </c>
      <c r="B345" s="5" t="inlineStr">
        <is>
          <t>import</t>
        </is>
      </c>
      <c r="C345" s="5" t="inlineStr">
        <is>
          <t>MOD-072</t>
        </is>
      </c>
      <c r="D345" s="5" t="inlineStr">
        <is>
          <t>js/v2/WorldDistantPeaks.js</t>
        </is>
      </c>
      <c r="E345" s="5" t="inlineStr">
        <is>
          <t>MOD-098</t>
        </is>
      </c>
      <c r="F345" s="5" t="inlineStr">
        <is>
          <t>SimulationController.js</t>
        </is>
      </c>
      <c r="G345" s="5" t="inlineStr">
        <is>
          <t>Legacy/unused</t>
        </is>
      </c>
    </row>
    <row r="346">
      <c r="A346" s="5" t="inlineStr">
        <is>
          <t>EDG-0342</t>
        </is>
      </c>
      <c r="B346" s="5" t="inlineStr">
        <is>
          <t>import</t>
        </is>
      </c>
      <c r="C346" s="5" t="inlineStr">
        <is>
          <t>MOD-073</t>
        </is>
      </c>
      <c r="D346" s="5" t="inlineStr">
        <is>
          <t>js/v2/WorldFishing.js</t>
        </is>
      </c>
      <c r="E346" s="5" t="inlineStr">
        <is>
          <t>MOD-061</t>
        </is>
      </c>
      <c r="F346" s="5" t="inlineStr">
        <is>
          <t>RuntimeServices.js</t>
        </is>
      </c>
      <c r="G346" s="5" t="inlineStr">
        <is>
          <t>Legacy/unused</t>
        </is>
      </c>
    </row>
    <row r="347">
      <c r="A347" s="5" t="inlineStr">
        <is>
          <t>EDG-0343</t>
        </is>
      </c>
      <c r="B347" s="5" t="inlineStr">
        <is>
          <t>import</t>
        </is>
      </c>
      <c r="C347" s="5" t="inlineStr">
        <is>
          <t>MOD-073</t>
        </is>
      </c>
      <c r="D347" s="5" t="inlineStr">
        <is>
          <t>js/v2/WorldFishing.js</t>
        </is>
      </c>
      <c r="E347" s="5" t="inlineStr">
        <is>
          <t>MOD-083</t>
        </is>
      </c>
      <c r="F347" s="5" t="inlineStr">
        <is>
          <t>WorldTerrain.js</t>
        </is>
      </c>
      <c r="G347" s="5" t="inlineStr">
        <is>
          <t>Legacy/unused</t>
        </is>
      </c>
    </row>
    <row r="348">
      <c r="A348" s="5" t="inlineStr">
        <is>
          <t>EDG-0344</t>
        </is>
      </c>
      <c r="B348" s="5" t="inlineStr">
        <is>
          <t>import</t>
        </is>
      </c>
      <c r="C348" s="5" t="inlineStr">
        <is>
          <t>MOD-073</t>
        </is>
      </c>
      <c r="D348" s="5" t="inlineStr">
        <is>
          <t>js/v2/WorldFishing.js</t>
        </is>
      </c>
      <c r="E348" s="5" t="inlineStr">
        <is>
          <t>MOD-098</t>
        </is>
      </c>
      <c r="F348" s="5" t="inlineStr">
        <is>
          <t>SimulationController.js</t>
        </is>
      </c>
      <c r="G348" s="5" t="inlineStr">
        <is>
          <t>Legacy/unused</t>
        </is>
      </c>
    </row>
    <row r="349">
      <c r="A349" s="5" t="inlineStr">
        <is>
          <t>EDG-0345</t>
        </is>
      </c>
      <c r="B349" s="5" t="inlineStr">
        <is>
          <t>import</t>
        </is>
      </c>
      <c r="C349" s="5" t="inlineStr">
        <is>
          <t>MOD-073</t>
        </is>
      </c>
      <c r="D349" s="5" t="inlineStr">
        <is>
          <t>js/v2/WorldFishing.js</t>
        </is>
      </c>
      <c r="E349" s="5" t="inlineStr">
        <is>
          <t>MOD-103</t>
        </is>
      </c>
      <c r="F349" s="5" t="inlineStr">
        <is>
          <t>constants.js</t>
        </is>
      </c>
      <c r="G349" s="5" t="inlineStr">
        <is>
          <t>Legacy/unused</t>
        </is>
      </c>
    </row>
    <row r="350">
      <c r="A350" s="5" t="inlineStr">
        <is>
          <t>EDG-0346</t>
        </is>
      </c>
      <c r="B350" s="5" t="inlineStr">
        <is>
          <t>global-write</t>
        </is>
      </c>
      <c r="C350" s="5" t="inlineStr">
        <is>
          <t>MOD-073</t>
        </is>
      </c>
      <c r="D350" s="5" t="inlineStr">
        <is>
          <t>js/v2/WorldFishing.js</t>
        </is>
      </c>
      <c r="E350" s="5" t="inlineStr">
        <is>
          <t>window._v2FishingActive</t>
        </is>
      </c>
      <c r="F350" s="5" t="inlineStr"/>
      <c r="G350" s="5" t="inlineStr">
        <is>
          <t>Legacy/unused</t>
        </is>
      </c>
    </row>
    <row r="351">
      <c r="A351" s="5" t="inlineStr">
        <is>
          <t>EDG-0347</t>
        </is>
      </c>
      <c r="B351" s="5" t="inlineStr">
        <is>
          <t>global-write</t>
        </is>
      </c>
      <c r="C351" s="5" t="inlineStr">
        <is>
          <t>MOD-073</t>
        </is>
      </c>
      <c r="D351" s="5" t="inlineStr">
        <is>
          <t>js/v2/WorldFishing.js</t>
        </is>
      </c>
      <c r="E351" s="5" t="inlineStr">
        <is>
          <t>window._v2FishingCameraOverride</t>
        </is>
      </c>
      <c r="F351" s="5" t="inlineStr"/>
      <c r="G351" s="5" t="inlineStr">
        <is>
          <t>Legacy/unused</t>
        </is>
      </c>
    </row>
    <row r="352">
      <c r="A352" s="5" t="inlineStr">
        <is>
          <t>EDG-0348</t>
        </is>
      </c>
      <c r="B352" s="5" t="inlineStr">
        <is>
          <t>global-write</t>
        </is>
      </c>
      <c r="C352" s="5" t="inlineStr">
        <is>
          <t>MOD-073</t>
        </is>
      </c>
      <c r="D352" s="5" t="inlineStr">
        <is>
          <t>js/v2/WorldFishing.js</t>
        </is>
      </c>
      <c r="E352" s="5" t="inlineStr">
        <is>
          <t>window._v2FishingCameraReleased</t>
        </is>
      </c>
      <c r="F352" s="5" t="inlineStr"/>
      <c r="G352" s="5" t="inlineStr">
        <is>
          <t>Legacy/unused</t>
        </is>
      </c>
    </row>
    <row r="353">
      <c r="A353" s="5" t="inlineStr">
        <is>
          <t>EDG-0349</t>
        </is>
      </c>
      <c r="B353" s="5" t="inlineStr">
        <is>
          <t>global-write</t>
        </is>
      </c>
      <c r="C353" s="5" t="inlineStr">
        <is>
          <t>MOD-073</t>
        </is>
      </c>
      <c r="D353" s="5" t="inlineStr">
        <is>
          <t>js/v2/WorldFishing.js</t>
        </is>
      </c>
      <c r="E353" s="5" t="inlineStr">
        <is>
          <t>window._v2FishingEngaged</t>
        </is>
      </c>
      <c r="F353" s="5" t="inlineStr"/>
      <c r="G353" s="5" t="inlineStr">
        <is>
          <t>Legacy/unused</t>
        </is>
      </c>
    </row>
    <row r="354">
      <c r="A354" s="5" t="inlineStr">
        <is>
          <t>EDG-0350</t>
        </is>
      </c>
      <c r="B354" s="5" t="inlineStr">
        <is>
          <t>global-write</t>
        </is>
      </c>
      <c r="C354" s="5" t="inlineStr">
        <is>
          <t>MOD-073</t>
        </is>
      </c>
      <c r="D354" s="5" t="inlineStr">
        <is>
          <t>js/v2/WorldFishing.js</t>
        </is>
      </c>
      <c r="E354" s="5" t="inlineStr">
        <is>
          <t>window._v2FishingPoint</t>
        </is>
      </c>
      <c r="F354" s="5" t="inlineStr"/>
      <c r="G354" s="5" t="inlineStr">
        <is>
          <t>Legacy/unused</t>
        </is>
      </c>
    </row>
    <row r="355">
      <c r="A355" s="5" t="inlineStr">
        <is>
          <t>EDG-0351</t>
        </is>
      </c>
      <c r="B355" s="5" t="inlineStr">
        <is>
          <t>global-write</t>
        </is>
      </c>
      <c r="C355" s="5" t="inlineStr">
        <is>
          <t>MOD-073</t>
        </is>
      </c>
      <c r="D355" s="5" t="inlineStr">
        <is>
          <t>js/v2/WorldFishing.js</t>
        </is>
      </c>
      <c r="E355" s="5" t="inlineStr">
        <is>
          <t>window._v2PoolFishTemplate</t>
        </is>
      </c>
      <c r="F355" s="5" t="inlineStr"/>
      <c r="G355" s="5" t="inlineStr">
        <is>
          <t>Legacy/unused</t>
        </is>
      </c>
    </row>
    <row r="356">
      <c r="A356" s="5" t="inlineStr">
        <is>
          <t>EDG-0352</t>
        </is>
      </c>
      <c r="B356" s="5" t="inlineStr">
        <is>
          <t>service-use</t>
        </is>
      </c>
      <c r="C356" s="5" t="inlineStr">
        <is>
          <t>MOD-073</t>
        </is>
      </c>
      <c r="D356" s="5" t="inlineStr">
        <is>
          <t>js/v2/WorldFishing.js</t>
        </is>
      </c>
      <c r="E356" s="5" t="inlineStr">
        <is>
          <t>service:WorldPlayer</t>
        </is>
      </c>
      <c r="F356" s="5" t="inlineStr"/>
      <c r="G356" s="5" t="inlineStr">
        <is>
          <t>Legacy/unused</t>
        </is>
      </c>
    </row>
    <row r="357">
      <c r="A357" s="5" t="inlineStr">
        <is>
          <t>EDG-0353</t>
        </is>
      </c>
      <c r="B357" s="5" t="inlineStr">
        <is>
          <t>import</t>
        </is>
      </c>
      <c r="C357" s="5" t="inlineStr">
        <is>
          <t>MOD-074</t>
        </is>
      </c>
      <c r="D357" s="5" t="inlineStr">
        <is>
          <t>js/v2/WorldMossyRock.js</t>
        </is>
      </c>
      <c r="E357" s="5" t="inlineStr">
        <is>
          <t>MOD-083</t>
        </is>
      </c>
      <c r="F357" s="5" t="inlineStr">
        <is>
          <t>WorldTerrain.js</t>
        </is>
      </c>
      <c r="G357" s="5" t="inlineStr">
        <is>
          <t>Live</t>
        </is>
      </c>
    </row>
    <row r="358">
      <c r="A358" s="5" t="inlineStr">
        <is>
          <t>EDG-0354</t>
        </is>
      </c>
      <c r="B358" s="5" t="inlineStr">
        <is>
          <t>import</t>
        </is>
      </c>
      <c r="C358" s="5" t="inlineStr">
        <is>
          <t>MOD-074</t>
        </is>
      </c>
      <c r="D358" s="5" t="inlineStr">
        <is>
          <t>js/v2/WorldMossyRock.js</t>
        </is>
      </c>
      <c r="E358" s="5" t="inlineStr">
        <is>
          <t>MOD-098</t>
        </is>
      </c>
      <c r="F358" s="5" t="inlineStr">
        <is>
          <t>SimulationController.js</t>
        </is>
      </c>
      <c r="G358" s="5" t="inlineStr">
        <is>
          <t>Live</t>
        </is>
      </c>
    </row>
    <row r="359">
      <c r="A359" s="5" t="inlineStr">
        <is>
          <t>EDG-0355</t>
        </is>
      </c>
      <c r="B359" s="5" t="inlineStr">
        <is>
          <t>import</t>
        </is>
      </c>
      <c r="C359" s="5" t="inlineStr">
        <is>
          <t>MOD-074</t>
        </is>
      </c>
      <c r="D359" s="5" t="inlineStr">
        <is>
          <t>js/v2/WorldMossyRock.js</t>
        </is>
      </c>
      <c r="E359" s="5" t="inlineStr">
        <is>
          <t>MOD-104</t>
        </is>
      </c>
      <c r="F359" s="5" t="inlineStr">
        <is>
          <t>gltfLoaderSetup.js</t>
        </is>
      </c>
      <c r="G359" s="5" t="inlineStr">
        <is>
          <t>Live</t>
        </is>
      </c>
    </row>
    <row r="360">
      <c r="A360" s="5" t="inlineStr">
        <is>
          <t>EDG-0356</t>
        </is>
      </c>
      <c r="B360" s="5" t="inlineStr">
        <is>
          <t>asset</t>
        </is>
      </c>
      <c r="C360" s="5" t="inlineStr">
        <is>
          <t>MOD-074</t>
        </is>
      </c>
      <c r="D360" s="5" t="inlineStr">
        <is>
          <t>js/v2/WorldMossyRock.js</t>
        </is>
      </c>
      <c r="E360" s="5" t="inlineStr">
        <is>
          <t>Assets/landscape-scenes/terrain/rock.mossy.glb</t>
        </is>
      </c>
      <c r="F360" s="5" t="inlineStr"/>
      <c r="G360" s="5" t="inlineStr">
        <is>
          <t>Live</t>
        </is>
      </c>
    </row>
    <row r="361">
      <c r="A361" s="5" t="inlineStr">
        <is>
          <t>EDG-0357</t>
        </is>
      </c>
      <c r="B361" s="5" t="inlineStr">
        <is>
          <t>import</t>
        </is>
      </c>
      <c r="C361" s="5" t="inlineStr">
        <is>
          <t>MOD-075</t>
        </is>
      </c>
      <c r="D361" s="5" t="inlineStr">
        <is>
          <t>js/v2/WorldNatureSpirit.js</t>
        </is>
      </c>
      <c r="E361" s="5" t="inlineStr">
        <is>
          <t>MOD-093</t>
        </is>
      </c>
      <c r="F361" s="5" t="inlineStr">
        <is>
          <t>InteractionBus.js</t>
        </is>
      </c>
      <c r="G361" s="5" t="inlineStr">
        <is>
          <t>Legacy/unused</t>
        </is>
      </c>
    </row>
    <row r="362">
      <c r="A362" s="5" t="inlineStr">
        <is>
          <t>EDG-0358</t>
        </is>
      </c>
      <c r="B362" s="5" t="inlineStr">
        <is>
          <t>import</t>
        </is>
      </c>
      <c r="C362" s="5" t="inlineStr">
        <is>
          <t>MOD-075</t>
        </is>
      </c>
      <c r="D362" s="5" t="inlineStr">
        <is>
          <t>js/v2/WorldNatureSpirit.js</t>
        </is>
      </c>
      <c r="E362" s="5" t="inlineStr">
        <is>
          <t>MOD-098</t>
        </is>
      </c>
      <c r="F362" s="5" t="inlineStr">
        <is>
          <t>SimulationController.js</t>
        </is>
      </c>
      <c r="G362" s="5" t="inlineStr">
        <is>
          <t>Legacy/unused</t>
        </is>
      </c>
    </row>
    <row r="363">
      <c r="A363" s="5" t="inlineStr">
        <is>
          <t>EDG-0359</t>
        </is>
      </c>
      <c r="B363" s="5" t="inlineStr">
        <is>
          <t>import</t>
        </is>
      </c>
      <c r="C363" s="5" t="inlineStr">
        <is>
          <t>MOD-075</t>
        </is>
      </c>
      <c r="D363" s="5" t="inlineStr">
        <is>
          <t>js/v2/WorldNatureSpirit.js</t>
        </is>
      </c>
      <c r="E363" s="5" t="inlineStr">
        <is>
          <t>MOD-100</t>
        </is>
      </c>
      <c r="F363" s="5" t="inlineStr">
        <is>
          <t>anuEvents.js</t>
        </is>
      </c>
      <c r="G363" s="5" t="inlineStr">
        <is>
          <t>Legacy/unused</t>
        </is>
      </c>
    </row>
    <row r="364">
      <c r="A364" s="5" t="inlineStr">
        <is>
          <t>EDG-0360</t>
        </is>
      </c>
      <c r="B364" s="5" t="inlineStr">
        <is>
          <t>import</t>
        </is>
      </c>
      <c r="C364" s="5" t="inlineStr">
        <is>
          <t>MOD-075</t>
        </is>
      </c>
      <c r="D364" s="5" t="inlineStr">
        <is>
          <t>js/v2/WorldNatureSpirit.js</t>
        </is>
      </c>
      <c r="E364" s="5" t="inlineStr">
        <is>
          <t>MOD-103</t>
        </is>
      </c>
      <c r="F364" s="5" t="inlineStr">
        <is>
          <t>constants.js</t>
        </is>
      </c>
      <c r="G364" s="5" t="inlineStr">
        <is>
          <t>Legacy/unused</t>
        </is>
      </c>
    </row>
    <row r="365">
      <c r="A365" s="5" t="inlineStr">
        <is>
          <t>EDG-0361</t>
        </is>
      </c>
      <c r="B365" s="5" t="inlineStr">
        <is>
          <t>import</t>
        </is>
      </c>
      <c r="C365" s="5" t="inlineStr">
        <is>
          <t>MOD-075</t>
        </is>
      </c>
      <c r="D365" s="5" t="inlineStr">
        <is>
          <t>js/v2/WorldNatureSpirit.js</t>
        </is>
      </c>
      <c r="E365" s="5" t="inlineStr">
        <is>
          <t>MOD-104</t>
        </is>
      </c>
      <c r="F365" s="5" t="inlineStr">
        <is>
          <t>gltfLoaderSetup.js</t>
        </is>
      </c>
      <c r="G365" s="5" t="inlineStr">
        <is>
          <t>Legacy/unused</t>
        </is>
      </c>
    </row>
    <row r="366">
      <c r="A366" s="5" t="inlineStr">
        <is>
          <t>EDG-0362</t>
        </is>
      </c>
      <c r="B366" s="5" t="inlineStr">
        <is>
          <t>global-write</t>
        </is>
      </c>
      <c r="C366" s="5" t="inlineStr">
        <is>
          <t>MOD-075</t>
        </is>
      </c>
      <c r="D366" s="5" t="inlineStr">
        <is>
          <t>js/v2/WorldNatureSpirit.js</t>
        </is>
      </c>
      <c r="E366" s="5" t="inlineStr">
        <is>
          <t>window.natureSpiritSystem</t>
        </is>
      </c>
      <c r="F366" s="5" t="inlineStr"/>
      <c r="G366" s="5" t="inlineStr">
        <is>
          <t>Legacy/unused</t>
        </is>
      </c>
    </row>
    <row r="367">
      <c r="A367" s="5" t="inlineStr">
        <is>
          <t>EDG-0363</t>
        </is>
      </c>
      <c r="B367" s="5" t="inlineStr">
        <is>
          <t>anu-event-dispatch</t>
        </is>
      </c>
      <c r="C367" s="5" t="inlineStr">
        <is>
          <t>MOD-075</t>
        </is>
      </c>
      <c r="D367" s="5" t="inlineStr">
        <is>
          <t>js/v2/WorldNatureSpirit.js</t>
        </is>
      </c>
      <c r="E367" s="5" t="inlineStr">
        <is>
          <t>ANU_EVENTS.NPC_ENTITY</t>
        </is>
      </c>
      <c r="F367" s="5" t="inlineStr"/>
      <c r="G367" s="5" t="inlineStr">
        <is>
          <t>Legacy/unused</t>
        </is>
      </c>
    </row>
    <row r="368">
      <c r="A368" s="5" t="inlineStr">
        <is>
          <t>EDG-0364</t>
        </is>
      </c>
      <c r="B368" s="5" t="inlineStr">
        <is>
          <t>asset</t>
        </is>
      </c>
      <c r="C368" s="5" t="inlineStr">
        <is>
          <t>MOD-075</t>
        </is>
      </c>
      <c r="D368" s="5" t="inlineStr">
        <is>
          <t>js/v2/WorldNatureSpirit.js</t>
        </is>
      </c>
      <c r="E368" s="5" t="inlineStr">
        <is>
          <t>Assets/animated.stag.glb</t>
        </is>
      </c>
      <c r="F368" s="5" t="inlineStr"/>
      <c r="G368" s="5" t="inlineStr">
        <is>
          <t>Legacy/unused</t>
        </is>
      </c>
    </row>
    <row r="369">
      <c r="A369" s="5" t="inlineStr">
        <is>
          <t>EDG-0365</t>
        </is>
      </c>
      <c r="B369" s="5" t="inlineStr">
        <is>
          <t>import</t>
        </is>
      </c>
      <c r="C369" s="5" t="inlineStr">
        <is>
          <t>MOD-076</t>
        </is>
      </c>
      <c r="D369" s="5" t="inlineStr">
        <is>
          <t>js/v2/WorldPhysics.js</t>
        </is>
      </c>
      <c r="E369" s="5" t="inlineStr">
        <is>
          <t>MOD-103</t>
        </is>
      </c>
      <c r="F369" s="5" t="inlineStr">
        <is>
          <t>constants.js</t>
        </is>
      </c>
      <c r="G369" s="5" t="inlineStr">
        <is>
          <t>Legacy/unused</t>
        </is>
      </c>
    </row>
    <row r="370">
      <c r="A370" s="5" t="inlineStr">
        <is>
          <t>EDG-0366</t>
        </is>
      </c>
      <c r="B370" s="5" t="inlineStr">
        <is>
          <t>global-write</t>
        </is>
      </c>
      <c r="C370" s="5" t="inlineStr">
        <is>
          <t>MOD-077</t>
        </is>
      </c>
      <c r="D370" s="5" t="inlineStr">
        <is>
          <t>js/v2/WorldPlayerController.js</t>
        </is>
      </c>
      <c r="E370" s="5" t="inlineStr">
        <is>
          <t>window._v2InputSuppressed</t>
        </is>
      </c>
      <c r="F370" s="5" t="inlineStr"/>
      <c r="G370" s="5" t="inlineStr">
        <is>
          <t>Legacy/unused</t>
        </is>
      </c>
    </row>
    <row r="371">
      <c r="A371" s="5" t="inlineStr">
        <is>
          <t>EDG-0367</t>
        </is>
      </c>
      <c r="B371" s="5" t="inlineStr">
        <is>
          <t>anu-event-dispatch</t>
        </is>
      </c>
      <c r="C371" s="5" t="inlineStr">
        <is>
          <t>MOD-077</t>
        </is>
      </c>
      <c r="D371" s="5" t="inlineStr">
        <is>
          <t>js/v2/WorldPlayerController.js</t>
        </is>
      </c>
      <c r="E371" s="5" t="inlineStr">
        <is>
          <t>ANU_EVENTS.PLAYER_KEY_EDGE</t>
        </is>
      </c>
      <c r="F371" s="5" t="inlineStr"/>
      <c r="G371" s="5" t="inlineStr">
        <is>
          <t>Legacy/unused</t>
        </is>
      </c>
    </row>
    <row r="372">
      <c r="A372" s="5" t="inlineStr">
        <is>
          <t>EDG-0368</t>
        </is>
      </c>
      <c r="B372" s="5" t="inlineStr">
        <is>
          <t>import</t>
        </is>
      </c>
      <c r="C372" s="5" t="inlineStr">
        <is>
          <t>MOD-078</t>
        </is>
      </c>
      <c r="D372" s="5" t="inlineStr">
        <is>
          <t>js/v2/WorldPool2.js</t>
        </is>
      </c>
      <c r="E372" s="5" t="inlineStr">
        <is>
          <t>MOD-061</t>
        </is>
      </c>
      <c r="F372" s="5" t="inlineStr">
        <is>
          <t>RuntimeServices.js</t>
        </is>
      </c>
      <c r="G372" s="5" t="inlineStr">
        <is>
          <t>Legacy/unused</t>
        </is>
      </c>
    </row>
    <row r="373">
      <c r="A373" s="5" t="inlineStr">
        <is>
          <t>EDG-0369</t>
        </is>
      </c>
      <c r="B373" s="5" t="inlineStr">
        <is>
          <t>import</t>
        </is>
      </c>
      <c r="C373" s="5" t="inlineStr">
        <is>
          <t>MOD-078</t>
        </is>
      </c>
      <c r="D373" s="5" t="inlineStr">
        <is>
          <t>js/v2/WorldPool2.js</t>
        </is>
      </c>
      <c r="E373" s="5" t="inlineStr">
        <is>
          <t>MOD-074</t>
        </is>
      </c>
      <c r="F373" s="5" t="inlineStr">
        <is>
          <t>WorldMossyRock.js</t>
        </is>
      </c>
      <c r="G373" s="5" t="inlineStr">
        <is>
          <t>Legacy/unused</t>
        </is>
      </c>
    </row>
    <row r="374">
      <c r="A374" s="5" t="inlineStr">
        <is>
          <t>EDG-0370</t>
        </is>
      </c>
      <c r="B374" s="5" t="inlineStr">
        <is>
          <t>import</t>
        </is>
      </c>
      <c r="C374" s="5" t="inlineStr">
        <is>
          <t>MOD-078</t>
        </is>
      </c>
      <c r="D374" s="5" t="inlineStr">
        <is>
          <t>js/v2/WorldPool2.js</t>
        </is>
      </c>
      <c r="E374" s="5" t="inlineStr">
        <is>
          <t>MOD-076</t>
        </is>
      </c>
      <c r="F374" s="5" t="inlineStr">
        <is>
          <t>WorldPhysics.js</t>
        </is>
      </c>
      <c r="G374" s="5" t="inlineStr">
        <is>
          <t>Legacy/unused</t>
        </is>
      </c>
    </row>
    <row r="375">
      <c r="A375" s="5" t="inlineStr">
        <is>
          <t>EDG-0371</t>
        </is>
      </c>
      <c r="B375" s="5" t="inlineStr">
        <is>
          <t>import</t>
        </is>
      </c>
      <c r="C375" s="5" t="inlineStr">
        <is>
          <t>MOD-078</t>
        </is>
      </c>
      <c r="D375" s="5" t="inlineStr">
        <is>
          <t>js/v2/WorldPool2.js</t>
        </is>
      </c>
      <c r="E375" s="5" t="inlineStr">
        <is>
          <t>MOD-082</t>
        </is>
      </c>
      <c r="F375" s="5" t="inlineStr">
        <is>
          <t>WorldStructures.js</t>
        </is>
      </c>
      <c r="G375" s="5" t="inlineStr">
        <is>
          <t>Legacy/unused</t>
        </is>
      </c>
    </row>
    <row r="376">
      <c r="A376" s="5" t="inlineStr">
        <is>
          <t>EDG-0372</t>
        </is>
      </c>
      <c r="B376" s="5" t="inlineStr">
        <is>
          <t>import</t>
        </is>
      </c>
      <c r="C376" s="5" t="inlineStr">
        <is>
          <t>MOD-078</t>
        </is>
      </c>
      <c r="D376" s="5" t="inlineStr">
        <is>
          <t>js/v2/WorldPool2.js</t>
        </is>
      </c>
      <c r="E376" s="5" t="inlineStr">
        <is>
          <t>MOD-083</t>
        </is>
      </c>
      <c r="F376" s="5" t="inlineStr">
        <is>
          <t>WorldTerrain.js</t>
        </is>
      </c>
      <c r="G376" s="5" t="inlineStr">
        <is>
          <t>Legacy/unused</t>
        </is>
      </c>
    </row>
    <row r="377">
      <c r="A377" s="5" t="inlineStr">
        <is>
          <t>EDG-0373</t>
        </is>
      </c>
      <c r="B377" s="5" t="inlineStr">
        <is>
          <t>import</t>
        </is>
      </c>
      <c r="C377" s="5" t="inlineStr">
        <is>
          <t>MOD-078</t>
        </is>
      </c>
      <c r="D377" s="5" t="inlineStr">
        <is>
          <t>js/v2/WorldPool2.js</t>
        </is>
      </c>
      <c r="E377" s="5" t="inlineStr">
        <is>
          <t>MOD-098</t>
        </is>
      </c>
      <c r="F377" s="5" t="inlineStr">
        <is>
          <t>SimulationController.js</t>
        </is>
      </c>
      <c r="G377" s="5" t="inlineStr">
        <is>
          <t>Legacy/unused</t>
        </is>
      </c>
    </row>
    <row r="378">
      <c r="A378" s="5" t="inlineStr">
        <is>
          <t>EDG-0374</t>
        </is>
      </c>
      <c r="B378" s="5" t="inlineStr">
        <is>
          <t>import</t>
        </is>
      </c>
      <c r="C378" s="5" t="inlineStr">
        <is>
          <t>MOD-078</t>
        </is>
      </c>
      <c r="D378" s="5" t="inlineStr">
        <is>
          <t>js/v2/WorldPool2.js</t>
        </is>
      </c>
      <c r="E378" s="5" t="inlineStr">
        <is>
          <t>MOD-103</t>
        </is>
      </c>
      <c r="F378" s="5" t="inlineStr">
        <is>
          <t>constants.js</t>
        </is>
      </c>
      <c r="G378" s="5" t="inlineStr">
        <is>
          <t>Legacy/unused</t>
        </is>
      </c>
    </row>
    <row r="379">
      <c r="A379" s="5" t="inlineStr">
        <is>
          <t>EDG-0375</t>
        </is>
      </c>
      <c r="B379" s="5" t="inlineStr">
        <is>
          <t>import</t>
        </is>
      </c>
      <c r="C379" s="5" t="inlineStr">
        <is>
          <t>MOD-078</t>
        </is>
      </c>
      <c r="D379" s="5" t="inlineStr">
        <is>
          <t>js/v2/WorldPool2.js</t>
        </is>
      </c>
      <c r="E379" s="5" t="inlineStr">
        <is>
          <t>MOD-104</t>
        </is>
      </c>
      <c r="F379" s="5" t="inlineStr">
        <is>
          <t>gltfLoaderSetup.js</t>
        </is>
      </c>
      <c r="G379" s="5" t="inlineStr">
        <is>
          <t>Legacy/unused</t>
        </is>
      </c>
    </row>
    <row r="380">
      <c r="A380" s="5" t="inlineStr">
        <is>
          <t>EDG-0376</t>
        </is>
      </c>
      <c r="B380" s="5" t="inlineStr">
        <is>
          <t>global-write</t>
        </is>
      </c>
      <c r="C380" s="5" t="inlineStr">
        <is>
          <t>MOD-078</t>
        </is>
      </c>
      <c r="D380" s="5" t="inlineStr">
        <is>
          <t>js/v2/WorldPool2.js</t>
        </is>
      </c>
      <c r="E380" s="5" t="inlineStr">
        <is>
          <t>window._v2FishingPoint</t>
        </is>
      </c>
      <c r="F380" s="5" t="inlineStr"/>
      <c r="G380" s="5" t="inlineStr">
        <is>
          <t>Legacy/unused</t>
        </is>
      </c>
    </row>
    <row r="381">
      <c r="A381" s="5" t="inlineStr">
        <is>
          <t>EDG-0377</t>
        </is>
      </c>
      <c r="B381" s="5" t="inlineStr">
        <is>
          <t>global-write</t>
        </is>
      </c>
      <c r="C381" s="5" t="inlineStr">
        <is>
          <t>MOD-078</t>
        </is>
      </c>
      <c r="D381" s="5" t="inlineStr">
        <is>
          <t>js/v2/WorldPool2.js</t>
        </is>
      </c>
      <c r="E381" s="5" t="inlineStr">
        <is>
          <t>window._v2PoolFish</t>
        </is>
      </c>
      <c r="F381" s="5" t="inlineStr"/>
      <c r="G381" s="5" t="inlineStr">
        <is>
          <t>Legacy/unused</t>
        </is>
      </c>
    </row>
    <row r="382">
      <c r="A382" s="5" t="inlineStr">
        <is>
          <t>EDG-0378</t>
        </is>
      </c>
      <c r="B382" s="5" t="inlineStr">
        <is>
          <t>global-write</t>
        </is>
      </c>
      <c r="C382" s="5" t="inlineStr">
        <is>
          <t>MOD-078</t>
        </is>
      </c>
      <c r="D382" s="5" t="inlineStr">
        <is>
          <t>js/v2/WorldPool2.js</t>
        </is>
      </c>
      <c r="E382" s="5" t="inlineStr">
        <is>
          <t>window._v2PoolFishTemplate</t>
        </is>
      </c>
      <c r="F382" s="5" t="inlineStr"/>
      <c r="G382" s="5" t="inlineStr">
        <is>
          <t>Legacy/unused</t>
        </is>
      </c>
    </row>
    <row r="383">
      <c r="A383" s="5" t="inlineStr">
        <is>
          <t>EDG-0379</t>
        </is>
      </c>
      <c r="B383" s="5" t="inlineStr">
        <is>
          <t>service-use</t>
        </is>
      </c>
      <c r="C383" s="5" t="inlineStr">
        <is>
          <t>MOD-078</t>
        </is>
      </c>
      <c r="D383" s="5" t="inlineStr">
        <is>
          <t>js/v2/WorldPool2.js</t>
        </is>
      </c>
      <c r="E383" s="5" t="inlineStr">
        <is>
          <t>service:AnuNatureAwareness</t>
        </is>
      </c>
      <c r="F383" s="5" t="inlineStr"/>
      <c r="G383" s="5" t="inlineStr">
        <is>
          <t>Legacy/unused</t>
        </is>
      </c>
    </row>
    <row r="384">
      <c r="A384" s="5" t="inlineStr">
        <is>
          <t>EDG-0380</t>
        </is>
      </c>
      <c r="B384" s="5" t="inlineStr">
        <is>
          <t>service-use</t>
        </is>
      </c>
      <c r="C384" s="5" t="inlineStr">
        <is>
          <t>MOD-078</t>
        </is>
      </c>
      <c r="D384" s="5" t="inlineStr">
        <is>
          <t>js/v2/WorldPool2.js</t>
        </is>
      </c>
      <c r="E384" s="5" t="inlineStr">
        <is>
          <t>service:WorldPhysics</t>
        </is>
      </c>
      <c r="F384" s="5" t="inlineStr"/>
      <c r="G384" s="5" t="inlineStr">
        <is>
          <t>Legacy/unused</t>
        </is>
      </c>
    </row>
    <row r="385">
      <c r="A385" s="5" t="inlineStr">
        <is>
          <t>EDG-0381</t>
        </is>
      </c>
      <c r="B385" s="5" t="inlineStr">
        <is>
          <t>asset</t>
        </is>
      </c>
      <c r="C385" s="5" t="inlineStr">
        <is>
          <t>MOD-078</t>
        </is>
      </c>
      <c r="D385" s="5" t="inlineStr">
        <is>
          <t>js/v2/WorldPool2.js</t>
        </is>
      </c>
      <c r="E385" s="5" t="inlineStr">
        <is>
          <t>Assets/fauna/animal-pack/deer.glb</t>
        </is>
      </c>
      <c r="F385" s="5" t="inlineStr"/>
      <c r="G385" s="5" t="inlineStr">
        <is>
          <t>Legacy/unused</t>
        </is>
      </c>
    </row>
    <row r="386">
      <c r="A386" s="5" t="inlineStr">
        <is>
          <t>EDG-0382</t>
        </is>
      </c>
      <c r="B386" s="5" t="inlineStr">
        <is>
          <t>import</t>
        </is>
      </c>
      <c r="C386" s="5" t="inlineStr">
        <is>
          <t>MOD-079</t>
        </is>
      </c>
      <c r="D386" s="5" t="inlineStr">
        <is>
          <t>js/v2/WorldQuietGlade.js</t>
        </is>
      </c>
      <c r="E386" s="5" t="inlineStr">
        <is>
          <t>MOD-083</t>
        </is>
      </c>
      <c r="F386" s="5" t="inlineStr">
        <is>
          <t>WorldTerrain.js</t>
        </is>
      </c>
      <c r="G386" s="5" t="inlineStr">
        <is>
          <t>Legacy/unused</t>
        </is>
      </c>
    </row>
    <row r="387">
      <c r="A387" s="5" t="inlineStr">
        <is>
          <t>EDG-0383</t>
        </is>
      </c>
      <c r="B387" s="5" t="inlineStr">
        <is>
          <t>import</t>
        </is>
      </c>
      <c r="C387" s="5" t="inlineStr">
        <is>
          <t>MOD-079</t>
        </is>
      </c>
      <c r="D387" s="5" t="inlineStr">
        <is>
          <t>js/v2/WorldQuietGlade.js</t>
        </is>
      </c>
      <c r="E387" s="5" t="inlineStr">
        <is>
          <t>MOD-098</t>
        </is>
      </c>
      <c r="F387" s="5" t="inlineStr">
        <is>
          <t>SimulationController.js</t>
        </is>
      </c>
      <c r="G387" s="5" t="inlineStr">
        <is>
          <t>Legacy/unused</t>
        </is>
      </c>
    </row>
    <row r="388">
      <c r="A388" s="5" t="inlineStr">
        <is>
          <t>EDG-0384</t>
        </is>
      </c>
      <c r="B388" s="5" t="inlineStr">
        <is>
          <t>import</t>
        </is>
      </c>
      <c r="C388" s="5" t="inlineStr">
        <is>
          <t>MOD-079</t>
        </is>
      </c>
      <c r="D388" s="5" t="inlineStr">
        <is>
          <t>js/v2/WorldQuietGlade.js</t>
        </is>
      </c>
      <c r="E388" s="5" t="inlineStr">
        <is>
          <t>MOD-103</t>
        </is>
      </c>
      <c r="F388" s="5" t="inlineStr">
        <is>
          <t>constants.js</t>
        </is>
      </c>
      <c r="G388" s="5" t="inlineStr">
        <is>
          <t>Legacy/unused</t>
        </is>
      </c>
    </row>
    <row r="389">
      <c r="A389" s="5" t="inlineStr">
        <is>
          <t>EDG-0385</t>
        </is>
      </c>
      <c r="B389" s="5" t="inlineStr">
        <is>
          <t>import</t>
        </is>
      </c>
      <c r="C389" s="5" t="inlineStr">
        <is>
          <t>MOD-080</t>
        </is>
      </c>
      <c r="D389" s="5" t="inlineStr">
        <is>
          <t>js/v2/WorldSacredPlatform.js</t>
        </is>
      </c>
      <c r="E389" s="5" t="inlineStr">
        <is>
          <t>MOD-098</t>
        </is>
      </c>
      <c r="F389" s="5" t="inlineStr">
        <is>
          <t>SimulationController.js</t>
        </is>
      </c>
      <c r="G389" s="5" t="inlineStr">
        <is>
          <t>Live</t>
        </is>
      </c>
    </row>
    <row r="390">
      <c r="A390" s="5" t="inlineStr">
        <is>
          <t>EDG-0386</t>
        </is>
      </c>
      <c r="B390" s="5" t="inlineStr">
        <is>
          <t>import</t>
        </is>
      </c>
      <c r="C390" s="5" t="inlineStr">
        <is>
          <t>MOD-080</t>
        </is>
      </c>
      <c r="D390" s="5" t="inlineStr">
        <is>
          <t>js/v2/WorldSacredPlatform.js</t>
        </is>
      </c>
      <c r="E390" s="5" t="inlineStr">
        <is>
          <t>MOD-103</t>
        </is>
      </c>
      <c r="F390" s="5" t="inlineStr">
        <is>
          <t>constants.js</t>
        </is>
      </c>
      <c r="G390" s="5" t="inlineStr">
        <is>
          <t>Live</t>
        </is>
      </c>
    </row>
    <row r="391">
      <c r="A391" s="5" t="inlineStr">
        <is>
          <t>EDG-0387</t>
        </is>
      </c>
      <c r="B391" s="5" t="inlineStr">
        <is>
          <t>import</t>
        </is>
      </c>
      <c r="C391" s="5" t="inlineStr">
        <is>
          <t>MOD-081</t>
        </is>
      </c>
      <c r="D391" s="5" t="inlineStr">
        <is>
          <t>js/v2/WorldSkyFlock.js</t>
        </is>
      </c>
      <c r="E391" s="5" t="inlineStr">
        <is>
          <t>MOD-061</t>
        </is>
      </c>
      <c r="F391" s="5" t="inlineStr">
        <is>
          <t>RuntimeServices.js</t>
        </is>
      </c>
      <c r="G391" s="5" t="inlineStr">
        <is>
          <t>Legacy/unused</t>
        </is>
      </c>
    </row>
    <row r="392">
      <c r="A392" s="5" t="inlineStr">
        <is>
          <t>EDG-0388</t>
        </is>
      </c>
      <c r="B392" s="5" t="inlineStr">
        <is>
          <t>import</t>
        </is>
      </c>
      <c r="C392" s="5" t="inlineStr">
        <is>
          <t>MOD-081</t>
        </is>
      </c>
      <c r="D392" s="5" t="inlineStr">
        <is>
          <t>js/v2/WorldSkyFlock.js</t>
        </is>
      </c>
      <c r="E392" s="5" t="inlineStr">
        <is>
          <t>MOD-083</t>
        </is>
      </c>
      <c r="F392" s="5" t="inlineStr">
        <is>
          <t>WorldTerrain.js</t>
        </is>
      </c>
      <c r="G392" s="5" t="inlineStr">
        <is>
          <t>Legacy/unused</t>
        </is>
      </c>
    </row>
    <row r="393">
      <c r="A393" s="5" t="inlineStr">
        <is>
          <t>EDG-0389</t>
        </is>
      </c>
      <c r="B393" s="5" t="inlineStr">
        <is>
          <t>import</t>
        </is>
      </c>
      <c r="C393" s="5" t="inlineStr">
        <is>
          <t>MOD-081</t>
        </is>
      </c>
      <c r="D393" s="5" t="inlineStr">
        <is>
          <t>js/v2/WorldSkyFlock.js</t>
        </is>
      </c>
      <c r="E393" s="5" t="inlineStr">
        <is>
          <t>MOD-098</t>
        </is>
      </c>
      <c r="F393" s="5" t="inlineStr">
        <is>
          <t>SimulationController.js</t>
        </is>
      </c>
      <c r="G393" s="5" t="inlineStr">
        <is>
          <t>Legacy/unused</t>
        </is>
      </c>
    </row>
    <row r="394">
      <c r="A394" s="5" t="inlineStr">
        <is>
          <t>EDG-0390</t>
        </is>
      </c>
      <c r="B394" s="5" t="inlineStr">
        <is>
          <t>service-use</t>
        </is>
      </c>
      <c r="C394" s="5" t="inlineStr">
        <is>
          <t>MOD-081</t>
        </is>
      </c>
      <c r="D394" s="5" t="inlineStr">
        <is>
          <t>js/v2/WorldSkyFlock.js</t>
        </is>
      </c>
      <c r="E394" s="5" t="inlineStr">
        <is>
          <t>service:WorldPlayer</t>
        </is>
      </c>
      <c r="F394" s="5" t="inlineStr"/>
      <c r="G394" s="5" t="inlineStr">
        <is>
          <t>Legacy/unused</t>
        </is>
      </c>
    </row>
    <row r="395">
      <c r="A395" s="5" t="inlineStr">
        <is>
          <t>EDG-0391</t>
        </is>
      </c>
      <c r="B395" s="5" t="inlineStr">
        <is>
          <t>import</t>
        </is>
      </c>
      <c r="C395" s="5" t="inlineStr">
        <is>
          <t>MOD-082</t>
        </is>
      </c>
      <c r="D395" s="5" t="inlineStr">
        <is>
          <t>js/v2/WorldStructures.js</t>
        </is>
      </c>
      <c r="E395" s="5" t="inlineStr">
        <is>
          <t>MOD-058</t>
        </is>
      </c>
      <c r="F395" s="5" t="inlineStr">
        <is>
          <t>NPCBehaviour.js</t>
        </is>
      </c>
      <c r="G395" s="5" t="inlineStr">
        <is>
          <t>Live</t>
        </is>
      </c>
    </row>
    <row r="396">
      <c r="A396" s="5" t="inlineStr">
        <is>
          <t>EDG-0392</t>
        </is>
      </c>
      <c r="B396" s="5" t="inlineStr">
        <is>
          <t>import</t>
        </is>
      </c>
      <c r="C396" s="5" t="inlineStr">
        <is>
          <t>MOD-082</t>
        </is>
      </c>
      <c r="D396" s="5" t="inlineStr">
        <is>
          <t>js/v2/WorldStructures.js</t>
        </is>
      </c>
      <c r="E396" s="5" t="inlineStr">
        <is>
          <t>MOD-061</t>
        </is>
      </c>
      <c r="F396" s="5" t="inlineStr">
        <is>
          <t>RuntimeServices.js</t>
        </is>
      </c>
      <c r="G396" s="5" t="inlineStr">
        <is>
          <t>Live</t>
        </is>
      </c>
    </row>
    <row r="397">
      <c r="A397" s="5" t="inlineStr">
        <is>
          <t>EDG-0393</t>
        </is>
      </c>
      <c r="B397" s="5" t="inlineStr">
        <is>
          <t>import</t>
        </is>
      </c>
      <c r="C397" s="5" t="inlineStr">
        <is>
          <t>MOD-082</t>
        </is>
      </c>
      <c r="D397" s="5" t="inlineStr">
        <is>
          <t>js/v2/WorldStructures.js</t>
        </is>
      </c>
      <c r="E397" s="5" t="inlineStr">
        <is>
          <t>MOD-062</t>
        </is>
      </c>
      <c r="F397" s="5" t="inlineStr">
        <is>
          <t>TipiCampfire.js</t>
        </is>
      </c>
      <c r="G397" s="5" t="inlineStr">
        <is>
          <t>Live</t>
        </is>
      </c>
    </row>
    <row r="398">
      <c r="A398" s="5" t="inlineStr">
        <is>
          <t>EDG-0394</t>
        </is>
      </c>
      <c r="B398" s="5" t="inlineStr">
        <is>
          <t>import</t>
        </is>
      </c>
      <c r="C398" s="5" t="inlineStr">
        <is>
          <t>MOD-082</t>
        </is>
      </c>
      <c r="D398" s="5" t="inlineStr">
        <is>
          <t>js/v2/WorldStructures.js</t>
        </is>
      </c>
      <c r="E398" s="5" t="inlineStr">
        <is>
          <t>MOD-074</t>
        </is>
      </c>
      <c r="F398" s="5" t="inlineStr">
        <is>
          <t>WorldMossyRock.js</t>
        </is>
      </c>
      <c r="G398" s="5" t="inlineStr">
        <is>
          <t>Live</t>
        </is>
      </c>
    </row>
    <row r="399">
      <c r="A399" s="5" t="inlineStr">
        <is>
          <t>EDG-0395</t>
        </is>
      </c>
      <c r="B399" s="5" t="inlineStr">
        <is>
          <t>import</t>
        </is>
      </c>
      <c r="C399" s="5" t="inlineStr">
        <is>
          <t>MOD-082</t>
        </is>
      </c>
      <c r="D399" s="5" t="inlineStr">
        <is>
          <t>js/v2/WorldStructures.js</t>
        </is>
      </c>
      <c r="E399" s="5" t="inlineStr">
        <is>
          <t>MOD-080</t>
        </is>
      </c>
      <c r="F399" s="5" t="inlineStr">
        <is>
          <t>WorldSacredPlatform.js</t>
        </is>
      </c>
      <c r="G399" s="5" t="inlineStr">
        <is>
          <t>Live</t>
        </is>
      </c>
    </row>
    <row r="400">
      <c r="A400" s="5" t="inlineStr">
        <is>
          <t>EDG-0396</t>
        </is>
      </c>
      <c r="B400" s="5" t="inlineStr">
        <is>
          <t>import</t>
        </is>
      </c>
      <c r="C400" s="5" t="inlineStr">
        <is>
          <t>MOD-082</t>
        </is>
      </c>
      <c r="D400" s="5" t="inlineStr">
        <is>
          <t>js/v2/WorldStructures.js</t>
        </is>
      </c>
      <c r="E400" s="5" t="inlineStr">
        <is>
          <t>MOD-083</t>
        </is>
      </c>
      <c r="F400" s="5" t="inlineStr">
        <is>
          <t>WorldTerrain.js</t>
        </is>
      </c>
      <c r="G400" s="5" t="inlineStr">
        <is>
          <t>Live</t>
        </is>
      </c>
    </row>
    <row r="401">
      <c r="A401" s="5" t="inlineStr">
        <is>
          <t>EDG-0397</t>
        </is>
      </c>
      <c r="B401" s="5" t="inlineStr">
        <is>
          <t>import</t>
        </is>
      </c>
      <c r="C401" s="5" t="inlineStr">
        <is>
          <t>MOD-082</t>
        </is>
      </c>
      <c r="D401" s="5" t="inlineStr">
        <is>
          <t>js/v2/WorldStructures.js</t>
        </is>
      </c>
      <c r="E401" s="5" t="inlineStr">
        <is>
          <t>MOD-084</t>
        </is>
      </c>
      <c r="F401" s="5" t="inlineStr">
        <is>
          <t>WorldTipiJournalBalloon.js</t>
        </is>
      </c>
      <c r="G401" s="5" t="inlineStr">
        <is>
          <t>Live</t>
        </is>
      </c>
    </row>
    <row r="402">
      <c r="A402" s="5" t="inlineStr">
        <is>
          <t>EDG-0398</t>
        </is>
      </c>
      <c r="B402" s="5" t="inlineStr">
        <is>
          <t>import</t>
        </is>
      </c>
      <c r="C402" s="5" t="inlineStr">
        <is>
          <t>MOD-082</t>
        </is>
      </c>
      <c r="D402" s="5" t="inlineStr">
        <is>
          <t>js/v2/WorldStructures.js</t>
        </is>
      </c>
      <c r="E402" s="5" t="inlineStr">
        <is>
          <t>MOD-094</t>
        </is>
      </c>
      <c r="F402" s="5" t="inlineStr">
        <is>
          <t>PipOrthoRingDiskClip.js</t>
        </is>
      </c>
      <c r="G402" s="5" t="inlineStr">
        <is>
          <t>Live</t>
        </is>
      </c>
    </row>
    <row r="403">
      <c r="A403" s="5" t="inlineStr">
        <is>
          <t>EDG-0399</t>
        </is>
      </c>
      <c r="B403" s="5" t="inlineStr">
        <is>
          <t>import</t>
        </is>
      </c>
      <c r="C403" s="5" t="inlineStr">
        <is>
          <t>MOD-082</t>
        </is>
      </c>
      <c r="D403" s="5" t="inlineStr">
        <is>
          <t>js/v2/WorldStructures.js</t>
        </is>
      </c>
      <c r="E403" s="5" t="inlineStr">
        <is>
          <t>MOD-098</t>
        </is>
      </c>
      <c r="F403" s="5" t="inlineStr">
        <is>
          <t>SimulationController.js</t>
        </is>
      </c>
      <c r="G403" s="5" t="inlineStr">
        <is>
          <t>Live</t>
        </is>
      </c>
    </row>
    <row r="404">
      <c r="A404" s="5" t="inlineStr">
        <is>
          <t>EDG-0400</t>
        </is>
      </c>
      <c r="B404" s="5" t="inlineStr">
        <is>
          <t>import</t>
        </is>
      </c>
      <c r="C404" s="5" t="inlineStr">
        <is>
          <t>MOD-082</t>
        </is>
      </c>
      <c r="D404" s="5" t="inlineStr">
        <is>
          <t>js/v2/WorldStructures.js</t>
        </is>
      </c>
      <c r="E404" s="5" t="inlineStr">
        <is>
          <t>MOD-099</t>
        </is>
      </c>
      <c r="F404" s="5" t="inlineStr">
        <is>
          <t>TravelFloorCircleMaterials.js</t>
        </is>
      </c>
      <c r="G404" s="5" t="inlineStr">
        <is>
          <t>Live</t>
        </is>
      </c>
    </row>
    <row r="405">
      <c r="A405" s="5" t="inlineStr">
        <is>
          <t>EDG-0401</t>
        </is>
      </c>
      <c r="B405" s="5" t="inlineStr">
        <is>
          <t>import</t>
        </is>
      </c>
      <c r="C405" s="5" t="inlineStr">
        <is>
          <t>MOD-082</t>
        </is>
      </c>
      <c r="D405" s="5" t="inlineStr">
        <is>
          <t>js/v2/WorldStructures.js</t>
        </is>
      </c>
      <c r="E405" s="5" t="inlineStr">
        <is>
          <t>MOD-103</t>
        </is>
      </c>
      <c r="F405" s="5" t="inlineStr">
        <is>
          <t>constants.js</t>
        </is>
      </c>
      <c r="G405" s="5" t="inlineStr">
        <is>
          <t>Live</t>
        </is>
      </c>
    </row>
    <row r="406">
      <c r="A406" s="5" t="inlineStr">
        <is>
          <t>EDG-0402</t>
        </is>
      </c>
      <c r="B406" s="5" t="inlineStr">
        <is>
          <t>import</t>
        </is>
      </c>
      <c r="C406" s="5" t="inlineStr">
        <is>
          <t>MOD-082</t>
        </is>
      </c>
      <c r="D406" s="5" t="inlineStr">
        <is>
          <t>js/v2/WorldStructures.js</t>
        </is>
      </c>
      <c r="E406" s="5" t="inlineStr">
        <is>
          <t>MOD-104</t>
        </is>
      </c>
      <c r="F406" s="5" t="inlineStr">
        <is>
          <t>gltfLoaderSetup.js</t>
        </is>
      </c>
      <c r="G406" s="5" t="inlineStr">
        <is>
          <t>Live</t>
        </is>
      </c>
    </row>
    <row r="407">
      <c r="A407" s="5" t="inlineStr">
        <is>
          <t>EDG-0403</t>
        </is>
      </c>
      <c r="B407" s="5" t="inlineStr">
        <is>
          <t>global-write</t>
        </is>
      </c>
      <c r="C407" s="5" t="inlineStr">
        <is>
          <t>MOD-082</t>
        </is>
      </c>
      <c r="D407" s="5" t="inlineStr">
        <is>
          <t>js/v2/WorldStructures.js</t>
        </is>
      </c>
      <c r="E407" s="5" t="inlineStr">
        <is>
          <t>window._tipiPlatformY</t>
        </is>
      </c>
      <c r="F407" s="5" t="inlineStr"/>
      <c r="G407" s="5" t="inlineStr">
        <is>
          <t>Live</t>
        </is>
      </c>
    </row>
    <row r="408">
      <c r="A408" s="5" t="inlineStr">
        <is>
          <t>EDG-0404</t>
        </is>
      </c>
      <c r="B408" s="5" t="inlineStr">
        <is>
          <t>service-use</t>
        </is>
      </c>
      <c r="C408" s="5" t="inlineStr">
        <is>
          <t>MOD-082</t>
        </is>
      </c>
      <c r="D408" s="5" t="inlineStr">
        <is>
          <t>js/v2/WorldStructures.js</t>
        </is>
      </c>
      <c r="E408" s="5" t="inlineStr">
        <is>
          <t>service:WorldPhysics</t>
        </is>
      </c>
      <c r="F408" s="5" t="inlineStr"/>
      <c r="G408" s="5" t="inlineStr">
        <is>
          <t>Live</t>
        </is>
      </c>
    </row>
    <row r="409">
      <c r="A409" s="5" t="inlineStr">
        <is>
          <t>EDG-0405</t>
        </is>
      </c>
      <c r="B409" s="5" t="inlineStr">
        <is>
          <t>asset</t>
        </is>
      </c>
      <c r="C409" s="5" t="inlineStr">
        <is>
          <t>MOD-082</t>
        </is>
      </c>
      <c r="D409" s="5" t="inlineStr">
        <is>
          <t>js/v2/WorldStructures.js</t>
        </is>
      </c>
      <c r="E409" s="5" t="inlineStr">
        <is>
          <t>Assets/NPC.BHG.glb</t>
        </is>
      </c>
      <c r="F409" s="5" t="inlineStr"/>
      <c r="G409" s="5" t="inlineStr">
        <is>
          <t>Live</t>
        </is>
      </c>
    </row>
    <row r="410">
      <c r="A410" s="5" t="inlineStr">
        <is>
          <t>EDG-0406</t>
        </is>
      </c>
      <c r="B410" s="5" t="inlineStr">
        <is>
          <t>asset</t>
        </is>
      </c>
      <c r="C410" s="5" t="inlineStr">
        <is>
          <t>MOD-082</t>
        </is>
      </c>
      <c r="D410" s="5" t="inlineStr">
        <is>
          <t>js/v2/WorldStructures.js</t>
        </is>
      </c>
      <c r="E410" s="5" t="inlineStr">
        <is>
          <t>Assets/NPC.YB.glb</t>
        </is>
      </c>
      <c r="F410" s="5" t="inlineStr"/>
      <c r="G410" s="5" t="inlineStr">
        <is>
          <t>Live</t>
        </is>
      </c>
    </row>
    <row r="411">
      <c r="A411" s="5" t="inlineStr">
        <is>
          <t>EDG-0407</t>
        </is>
      </c>
      <c r="B411" s="5" t="inlineStr">
        <is>
          <t>asset</t>
        </is>
      </c>
      <c r="C411" s="5" t="inlineStr">
        <is>
          <t>MOD-082</t>
        </is>
      </c>
      <c r="D411" s="5" t="inlineStr">
        <is>
          <t>js/v2/WorldStructures.js</t>
        </is>
      </c>
      <c r="E411" s="5" t="inlineStr">
        <is>
          <t>Assets/Tipi.yellowbutterfly/tipi.yellowbutterfly.glb</t>
        </is>
      </c>
      <c r="F411" s="5" t="inlineStr"/>
      <c r="G411" s="5" t="inlineStr">
        <is>
          <t>Live</t>
        </is>
      </c>
    </row>
    <row r="412">
      <c r="A412" s="5" t="inlineStr">
        <is>
          <t>EDG-0408</t>
        </is>
      </c>
      <c r="B412" s="5" t="inlineStr">
        <is>
          <t>asset</t>
        </is>
      </c>
      <c r="C412" s="5" t="inlineStr">
        <is>
          <t>MOD-082</t>
        </is>
      </c>
      <c r="D412" s="5" t="inlineStr">
        <is>
          <t>js/v2/WorldStructures.js</t>
        </is>
      </c>
      <c r="E412" s="5" t="inlineStr">
        <is>
          <t>Assets/axe.glb</t>
        </is>
      </c>
      <c r="F412" s="5" t="inlineStr"/>
      <c r="G412" s="5" t="inlineStr">
        <is>
          <t>Live</t>
        </is>
      </c>
    </row>
    <row r="413">
      <c r="A413" s="5" t="inlineStr">
        <is>
          <t>EDG-0409</t>
        </is>
      </c>
      <c r="B413" s="5" t="inlineStr">
        <is>
          <t>import</t>
        </is>
      </c>
      <c r="C413" s="5" t="inlineStr">
        <is>
          <t>MOD-083</t>
        </is>
      </c>
      <c r="D413" s="5" t="inlineStr">
        <is>
          <t>js/v2/WorldTerrain.js</t>
        </is>
      </c>
      <c r="E413" s="5" t="inlineStr">
        <is>
          <t>MOD-057</t>
        </is>
      </c>
      <c r="F413" s="5" t="inlineStr">
        <is>
          <t>MapsConfig.js</t>
        </is>
      </c>
      <c r="G413" s="5" t="inlineStr">
        <is>
          <t>Live</t>
        </is>
      </c>
    </row>
    <row r="414">
      <c r="A414" s="5" t="inlineStr">
        <is>
          <t>EDG-0410</t>
        </is>
      </c>
      <c r="B414" s="5" t="inlineStr">
        <is>
          <t>import</t>
        </is>
      </c>
      <c r="C414" s="5" t="inlineStr">
        <is>
          <t>MOD-083</t>
        </is>
      </c>
      <c r="D414" s="5" t="inlineStr">
        <is>
          <t>js/v2/WorldTerrain.js</t>
        </is>
      </c>
      <c r="E414" s="5" t="inlineStr">
        <is>
          <t>MOD-103</t>
        </is>
      </c>
      <c r="F414" s="5" t="inlineStr">
        <is>
          <t>constants.js</t>
        </is>
      </c>
      <c r="G414" s="5" t="inlineStr">
        <is>
          <t>Live</t>
        </is>
      </c>
    </row>
    <row r="415">
      <c r="A415" s="5" t="inlineStr">
        <is>
          <t>EDG-0411</t>
        </is>
      </c>
      <c r="B415" s="5" t="inlineStr">
        <is>
          <t>import</t>
        </is>
      </c>
      <c r="C415" s="5" t="inlineStr">
        <is>
          <t>MOD-084</t>
        </is>
      </c>
      <c r="D415" s="5" t="inlineStr">
        <is>
          <t>js/v2/WorldTipiJournalBalloon.js</t>
        </is>
      </c>
      <c r="E415" s="5" t="inlineStr">
        <is>
          <t>MOD-098</t>
        </is>
      </c>
      <c r="F415" s="5" t="inlineStr">
        <is>
          <t>SimulationController.js</t>
        </is>
      </c>
      <c r="G415" s="5" t="inlineStr">
        <is>
          <t>Live</t>
        </is>
      </c>
    </row>
    <row r="416">
      <c r="A416" s="5" t="inlineStr">
        <is>
          <t>EDG-0412</t>
        </is>
      </c>
      <c r="B416" s="5" t="inlineStr">
        <is>
          <t>import</t>
        </is>
      </c>
      <c r="C416" s="5" t="inlineStr">
        <is>
          <t>MOD-085</t>
        </is>
      </c>
      <c r="D416" s="5" t="inlineStr">
        <is>
          <t>js/v2/WorldTraderJosh.js</t>
        </is>
      </c>
      <c r="E416" s="5" t="inlineStr">
        <is>
          <t>MOD-083</t>
        </is>
      </c>
      <c r="F416" s="5" t="inlineStr">
        <is>
          <t>WorldTerrain.js</t>
        </is>
      </c>
      <c r="G416" s="5" t="inlineStr">
        <is>
          <t>Legacy/unused</t>
        </is>
      </c>
    </row>
    <row r="417">
      <c r="A417" s="5" t="inlineStr">
        <is>
          <t>EDG-0413</t>
        </is>
      </c>
      <c r="B417" s="5" t="inlineStr">
        <is>
          <t>import</t>
        </is>
      </c>
      <c r="C417" s="5" t="inlineStr">
        <is>
          <t>MOD-085</t>
        </is>
      </c>
      <c r="D417" s="5" t="inlineStr">
        <is>
          <t>js/v2/WorldTraderJosh.js</t>
        </is>
      </c>
      <c r="E417" s="5" t="inlineStr">
        <is>
          <t>MOD-098</t>
        </is>
      </c>
      <c r="F417" s="5" t="inlineStr">
        <is>
          <t>SimulationController.js</t>
        </is>
      </c>
      <c r="G417" s="5" t="inlineStr">
        <is>
          <t>Legacy/unused</t>
        </is>
      </c>
    </row>
    <row r="418">
      <c r="A418" s="5" t="inlineStr">
        <is>
          <t>EDG-0414</t>
        </is>
      </c>
      <c r="B418" s="5" t="inlineStr">
        <is>
          <t>import</t>
        </is>
      </c>
      <c r="C418" s="5" t="inlineStr">
        <is>
          <t>MOD-085</t>
        </is>
      </c>
      <c r="D418" s="5" t="inlineStr">
        <is>
          <t>js/v2/WorldTraderJosh.js</t>
        </is>
      </c>
      <c r="E418" s="5" t="inlineStr">
        <is>
          <t>MOD-104</t>
        </is>
      </c>
      <c r="F418" s="5" t="inlineStr">
        <is>
          <t>gltfLoaderSetup.js</t>
        </is>
      </c>
      <c r="G418" s="5" t="inlineStr">
        <is>
          <t>Legacy/unused</t>
        </is>
      </c>
    </row>
    <row r="419">
      <c r="A419" s="5" t="inlineStr">
        <is>
          <t>EDG-0415</t>
        </is>
      </c>
      <c r="B419" s="5" t="inlineStr">
        <is>
          <t>asset</t>
        </is>
      </c>
      <c r="C419" s="5" t="inlineStr">
        <is>
          <t>MOD-085</t>
        </is>
      </c>
      <c r="D419" s="5" t="inlineStr">
        <is>
          <t>js/v2/WorldTraderJosh.js</t>
        </is>
      </c>
      <c r="E419" s="5" t="inlineStr">
        <is>
          <t>Assets/TraderJosh3d.glb</t>
        </is>
      </c>
      <c r="F419" s="5" t="inlineStr"/>
      <c r="G419" s="5" t="inlineStr">
        <is>
          <t>Legacy/unused</t>
        </is>
      </c>
    </row>
    <row r="420">
      <c r="A420" s="5" t="inlineStr">
        <is>
          <t>EDG-0416</t>
        </is>
      </c>
      <c r="B420" s="5" t="inlineStr">
        <is>
          <t>import</t>
        </is>
      </c>
      <c r="C420" s="5" t="inlineStr">
        <is>
          <t>MOD-086</t>
        </is>
      </c>
      <c r="D420" s="5" t="inlineStr">
        <is>
          <t>js/v2/anu/AdaptiveRenderPolicy.js</t>
        </is>
      </c>
      <c r="E420" s="5" t="inlineStr">
        <is>
          <t>MOD-096</t>
        </is>
      </c>
      <c r="F420" s="5" t="inlineStr">
        <is>
          <t>RenderingGovernor.js</t>
        </is>
      </c>
      <c r="G420" s="5" t="inlineStr">
        <is>
          <t>Live</t>
        </is>
      </c>
    </row>
    <row r="421">
      <c r="A421" s="5" t="inlineStr">
        <is>
          <t>EDG-0417</t>
        </is>
      </c>
      <c r="B421" s="5" t="inlineStr">
        <is>
          <t>import</t>
        </is>
      </c>
      <c r="C421" s="5" t="inlineStr">
        <is>
          <t>MOD-086</t>
        </is>
      </c>
      <c r="D421" s="5" t="inlineStr">
        <is>
          <t>js/v2/anu/AdaptiveRenderPolicy.js</t>
        </is>
      </c>
      <c r="E421" s="5" t="inlineStr">
        <is>
          <t>MOD-103</t>
        </is>
      </c>
      <c r="F421" s="5" t="inlineStr">
        <is>
          <t>constants.js</t>
        </is>
      </c>
      <c r="G421" s="5" t="inlineStr">
        <is>
          <t>Live</t>
        </is>
      </c>
    </row>
    <row r="422">
      <c r="A422" s="5" t="inlineStr">
        <is>
          <t>EDG-0418</t>
        </is>
      </c>
      <c r="B422" s="5" t="inlineStr">
        <is>
          <t>import</t>
        </is>
      </c>
      <c r="C422" s="5" t="inlineStr">
        <is>
          <t>MOD-087</t>
        </is>
      </c>
      <c r="D422" s="5" t="inlineStr">
        <is>
          <t>js/v2/anu/AnuErrorAndStressLedger.js</t>
        </is>
      </c>
      <c r="E422" s="5" t="inlineStr">
        <is>
          <t>MOD-092</t>
        </is>
      </c>
      <c r="F422" s="5" t="inlineStr">
        <is>
          <t>FrameBudget.js</t>
        </is>
      </c>
      <c r="G422" s="5" t="inlineStr">
        <is>
          <t>Live</t>
        </is>
      </c>
    </row>
    <row r="423">
      <c r="A423" s="5" t="inlineStr">
        <is>
          <t>EDG-0419</t>
        </is>
      </c>
      <c r="B423" s="5" t="inlineStr">
        <is>
          <t>import</t>
        </is>
      </c>
      <c r="C423" s="5" t="inlineStr">
        <is>
          <t>MOD-087</t>
        </is>
      </c>
      <c r="D423" s="5" t="inlineStr">
        <is>
          <t>js/v2/anu/AnuErrorAndStressLedger.js</t>
        </is>
      </c>
      <c r="E423" s="5" t="inlineStr">
        <is>
          <t>MOD-093</t>
        </is>
      </c>
      <c r="F423" s="5" t="inlineStr">
        <is>
          <t>InteractionBus.js</t>
        </is>
      </c>
      <c r="G423" s="5" t="inlineStr">
        <is>
          <t>Live</t>
        </is>
      </c>
    </row>
    <row r="424">
      <c r="A424" s="5" t="inlineStr">
        <is>
          <t>EDG-0420</t>
        </is>
      </c>
      <c r="B424" s="5" t="inlineStr">
        <is>
          <t>import</t>
        </is>
      </c>
      <c r="C424" s="5" t="inlineStr">
        <is>
          <t>MOD-087</t>
        </is>
      </c>
      <c r="D424" s="5" t="inlineStr">
        <is>
          <t>js/v2/anu/AnuErrorAndStressLedger.js</t>
        </is>
      </c>
      <c r="E424" s="5" t="inlineStr">
        <is>
          <t>MOD-096</t>
        </is>
      </c>
      <c r="F424" s="5" t="inlineStr">
        <is>
          <t>RenderingGovernor.js</t>
        </is>
      </c>
      <c r="G424" s="5" t="inlineStr">
        <is>
          <t>Live</t>
        </is>
      </c>
    </row>
    <row r="425">
      <c r="A425" s="5" t="inlineStr">
        <is>
          <t>EDG-0421</t>
        </is>
      </c>
      <c r="B425" s="5" t="inlineStr">
        <is>
          <t>import</t>
        </is>
      </c>
      <c r="C425" s="5" t="inlineStr">
        <is>
          <t>MOD-087</t>
        </is>
      </c>
      <c r="D425" s="5" t="inlineStr">
        <is>
          <t>js/v2/anu/AnuErrorAndStressLedger.js</t>
        </is>
      </c>
      <c r="E425" s="5" t="inlineStr">
        <is>
          <t>MOD-100</t>
        </is>
      </c>
      <c r="F425" s="5" t="inlineStr">
        <is>
          <t>anuEvents.js</t>
        </is>
      </c>
      <c r="G425" s="5" t="inlineStr">
        <is>
          <t>Live</t>
        </is>
      </c>
    </row>
    <row r="426">
      <c r="A426" s="5" t="inlineStr">
        <is>
          <t>EDG-0422</t>
        </is>
      </c>
      <c r="B426" s="5" t="inlineStr">
        <is>
          <t>import</t>
        </is>
      </c>
      <c r="C426" s="5" t="inlineStr">
        <is>
          <t>MOD-087</t>
        </is>
      </c>
      <c r="D426" s="5" t="inlineStr">
        <is>
          <t>js/v2/anu/AnuErrorAndStressLedger.js</t>
        </is>
      </c>
      <c r="E426" s="5" t="inlineStr">
        <is>
          <t>MOD-103</t>
        </is>
      </c>
      <c r="F426" s="5" t="inlineStr">
        <is>
          <t>constants.js</t>
        </is>
      </c>
      <c r="G426" s="5" t="inlineStr">
        <is>
          <t>Live</t>
        </is>
      </c>
    </row>
    <row r="427">
      <c r="A427" s="5" t="inlineStr">
        <is>
          <t>EDG-0423</t>
        </is>
      </c>
      <c r="B427" s="5" t="inlineStr">
        <is>
          <t>anu-event-dispatch</t>
        </is>
      </c>
      <c r="C427" s="5" t="inlineStr">
        <is>
          <t>MOD-087</t>
        </is>
      </c>
      <c r="D427" s="5" t="inlineStr">
        <is>
          <t>js/v2/anu/AnuErrorAndStressLedger.js</t>
        </is>
      </c>
      <c r="E427" s="5" t="inlineStr">
        <is>
          <t>ANU_EVENTS.MODULE_LOAD_ERROR</t>
        </is>
      </c>
      <c r="F427" s="5" t="inlineStr"/>
      <c r="G427" s="5" t="inlineStr">
        <is>
          <t>Live</t>
        </is>
      </c>
    </row>
    <row r="428">
      <c r="A428" s="5" t="inlineStr">
        <is>
          <t>EDG-0424</t>
        </is>
      </c>
      <c r="B428" s="5" t="inlineStr">
        <is>
          <t>anu-event-dispatch</t>
        </is>
      </c>
      <c r="C428" s="5" t="inlineStr">
        <is>
          <t>MOD-087</t>
        </is>
      </c>
      <c r="D428" s="5" t="inlineStr">
        <is>
          <t>js/v2/anu/AnuErrorAndStressLedger.js</t>
        </is>
      </c>
      <c r="E428" s="5" t="inlineStr">
        <is>
          <t>ANU_EVENTS.ORCHESTRATOR_LOOP_ERROR</t>
        </is>
      </c>
      <c r="F428" s="5" t="inlineStr"/>
      <c r="G428" s="5" t="inlineStr">
        <is>
          <t>Live</t>
        </is>
      </c>
    </row>
    <row r="429">
      <c r="A429" s="5" t="inlineStr">
        <is>
          <t>EDG-0425</t>
        </is>
      </c>
      <c r="B429" s="5" t="inlineStr">
        <is>
          <t>anu-event-dispatch</t>
        </is>
      </c>
      <c r="C429" s="5" t="inlineStr">
        <is>
          <t>MOD-087</t>
        </is>
      </c>
      <c r="D429" s="5" t="inlineStr">
        <is>
          <t>js/v2/anu/AnuErrorAndStressLedger.js</t>
        </is>
      </c>
      <c r="E429" s="5" t="inlineStr">
        <is>
          <t>ANU_EVENTS.PIPELINE_STRESS_LEVEL</t>
        </is>
      </c>
      <c r="F429" s="5" t="inlineStr"/>
      <c r="G429" s="5" t="inlineStr">
        <is>
          <t>Live</t>
        </is>
      </c>
    </row>
    <row r="430">
      <c r="A430" s="5" t="inlineStr">
        <is>
          <t>EDG-0426</t>
        </is>
      </c>
      <c r="B430" s="5" t="inlineStr">
        <is>
          <t>import</t>
        </is>
      </c>
      <c r="C430" s="5" t="inlineStr">
        <is>
          <t>MOD-088</t>
        </is>
      </c>
      <c r="D430" s="5" t="inlineStr">
        <is>
          <t>js/v2/anu/AnuFuzzyPipelineSensor.js</t>
        </is>
      </c>
      <c r="E430" s="5" t="inlineStr">
        <is>
          <t>MOD-087</t>
        </is>
      </c>
      <c r="F430" s="5" t="inlineStr">
        <is>
          <t>AnuErrorAndStressLedger.js</t>
        </is>
      </c>
      <c r="G430" s="5" t="inlineStr">
        <is>
          <t>Live</t>
        </is>
      </c>
    </row>
    <row r="431">
      <c r="A431" s="5" t="inlineStr">
        <is>
          <t>EDG-0427</t>
        </is>
      </c>
      <c r="B431" s="5" t="inlineStr">
        <is>
          <t>import</t>
        </is>
      </c>
      <c r="C431" s="5" t="inlineStr">
        <is>
          <t>MOD-088</t>
        </is>
      </c>
      <c r="D431" s="5" t="inlineStr">
        <is>
          <t>js/v2/anu/AnuFuzzyPipelineSensor.js</t>
        </is>
      </c>
      <c r="E431" s="5" t="inlineStr">
        <is>
          <t>MOD-092</t>
        </is>
      </c>
      <c r="F431" s="5" t="inlineStr">
        <is>
          <t>FrameBudget.js</t>
        </is>
      </c>
      <c r="G431" s="5" t="inlineStr">
        <is>
          <t>Live</t>
        </is>
      </c>
    </row>
    <row r="432">
      <c r="A432" s="5" t="inlineStr">
        <is>
          <t>EDG-0428</t>
        </is>
      </c>
      <c r="B432" s="5" t="inlineStr">
        <is>
          <t>import</t>
        </is>
      </c>
      <c r="C432" s="5" t="inlineStr">
        <is>
          <t>MOD-088</t>
        </is>
      </c>
      <c r="D432" s="5" t="inlineStr">
        <is>
          <t>js/v2/anu/AnuFuzzyPipelineSensor.js</t>
        </is>
      </c>
      <c r="E432" s="5" t="inlineStr">
        <is>
          <t>MOD-096</t>
        </is>
      </c>
      <c r="F432" s="5" t="inlineStr">
        <is>
          <t>RenderingGovernor.js</t>
        </is>
      </c>
      <c r="G432" s="5" t="inlineStr">
        <is>
          <t>Live</t>
        </is>
      </c>
    </row>
    <row r="433">
      <c r="A433" s="5" t="inlineStr">
        <is>
          <t>EDG-0429</t>
        </is>
      </c>
      <c r="B433" s="5" t="inlineStr">
        <is>
          <t>import</t>
        </is>
      </c>
      <c r="C433" s="5" t="inlineStr">
        <is>
          <t>MOD-088</t>
        </is>
      </c>
      <c r="D433" s="5" t="inlineStr">
        <is>
          <t>js/v2/anu/AnuFuzzyPipelineSensor.js</t>
        </is>
      </c>
      <c r="E433" s="5" t="inlineStr">
        <is>
          <t>MOD-097</t>
        </is>
      </c>
      <c r="F433" s="5" t="inlineStr">
        <is>
          <t>SceneModelInventory.js</t>
        </is>
      </c>
      <c r="G433" s="5" t="inlineStr">
        <is>
          <t>Live</t>
        </is>
      </c>
    </row>
    <row r="434">
      <c r="A434" s="5" t="inlineStr">
        <is>
          <t>EDG-0430</t>
        </is>
      </c>
      <c r="B434" s="5" t="inlineStr">
        <is>
          <t>import</t>
        </is>
      </c>
      <c r="C434" s="5" t="inlineStr">
        <is>
          <t>MOD-088</t>
        </is>
      </c>
      <c r="D434" s="5" t="inlineStr">
        <is>
          <t>js/v2/anu/AnuFuzzyPipelineSensor.js</t>
        </is>
      </c>
      <c r="E434" s="5" t="inlineStr">
        <is>
          <t>MOD-103</t>
        </is>
      </c>
      <c r="F434" s="5" t="inlineStr">
        <is>
          <t>constants.js</t>
        </is>
      </c>
      <c r="G434" s="5" t="inlineStr">
        <is>
          <t>Live</t>
        </is>
      </c>
    </row>
    <row r="435">
      <c r="A435" s="5" t="inlineStr">
        <is>
          <t>EDG-0431</t>
        </is>
      </c>
      <c r="B435" s="5" t="inlineStr">
        <is>
          <t>import</t>
        </is>
      </c>
      <c r="C435" s="5" t="inlineStr">
        <is>
          <t>MOD-089</t>
        </is>
      </c>
      <c r="D435" s="5" t="inlineStr">
        <is>
          <t>js/v2/anu/AnuGovernanceRules.js</t>
        </is>
      </c>
      <c r="E435" s="5" t="inlineStr">
        <is>
          <t>MOD-098</t>
        </is>
      </c>
      <c r="F435" s="5" t="inlineStr">
        <is>
          <t>SimulationController.js</t>
        </is>
      </c>
      <c r="G435" s="5" t="inlineStr">
        <is>
          <t>Live</t>
        </is>
      </c>
    </row>
    <row r="436">
      <c r="A436" s="5" t="inlineStr">
        <is>
          <t>EDG-0432</t>
        </is>
      </c>
      <c r="B436" s="5" t="inlineStr">
        <is>
          <t>import</t>
        </is>
      </c>
      <c r="C436" s="5" t="inlineStr">
        <is>
          <t>MOD-090</t>
        </is>
      </c>
      <c r="D436" s="5" t="inlineStr">
        <is>
          <t>js/v2/anu/AnuNatureAwareness.js</t>
        </is>
      </c>
      <c r="E436" s="5" t="inlineStr">
        <is>
          <t>MOD-061</t>
        </is>
      </c>
      <c r="F436" s="5" t="inlineStr">
        <is>
          <t>RuntimeServices.js</t>
        </is>
      </c>
      <c r="G436" s="5" t="inlineStr">
        <is>
          <t>Live</t>
        </is>
      </c>
    </row>
    <row r="437">
      <c r="A437" s="5" t="inlineStr">
        <is>
          <t>EDG-0433</t>
        </is>
      </c>
      <c r="B437" s="5" t="inlineStr">
        <is>
          <t>import</t>
        </is>
      </c>
      <c r="C437" s="5" t="inlineStr">
        <is>
          <t>MOD-090</t>
        </is>
      </c>
      <c r="D437" s="5" t="inlineStr">
        <is>
          <t>js/v2/anu/AnuNatureAwareness.js</t>
        </is>
      </c>
      <c r="E437" s="5" t="inlineStr">
        <is>
          <t>MOD-093</t>
        </is>
      </c>
      <c r="F437" s="5" t="inlineStr">
        <is>
          <t>InteractionBus.js</t>
        </is>
      </c>
      <c r="G437" s="5" t="inlineStr">
        <is>
          <t>Live</t>
        </is>
      </c>
    </row>
    <row r="438">
      <c r="A438" s="5" t="inlineStr">
        <is>
          <t>EDG-0434</t>
        </is>
      </c>
      <c r="B438" s="5" t="inlineStr">
        <is>
          <t>import</t>
        </is>
      </c>
      <c r="C438" s="5" t="inlineStr">
        <is>
          <t>MOD-090</t>
        </is>
      </c>
      <c r="D438" s="5" t="inlineStr">
        <is>
          <t>js/v2/anu/AnuNatureAwareness.js</t>
        </is>
      </c>
      <c r="E438" s="5" t="inlineStr">
        <is>
          <t>MOD-100</t>
        </is>
      </c>
      <c r="F438" s="5" t="inlineStr">
        <is>
          <t>anuEvents.js</t>
        </is>
      </c>
      <c r="G438" s="5" t="inlineStr">
        <is>
          <t>Live</t>
        </is>
      </c>
    </row>
    <row r="439">
      <c r="A439" s="5" t="inlineStr">
        <is>
          <t>EDG-0435</t>
        </is>
      </c>
      <c r="B439" s="5" t="inlineStr">
        <is>
          <t>anu-event-dispatch</t>
        </is>
      </c>
      <c r="C439" s="5" t="inlineStr">
        <is>
          <t>MOD-090</t>
        </is>
      </c>
      <c r="D439" s="5" t="inlineStr">
        <is>
          <t>js/v2/anu/AnuNatureAwareness.js</t>
        </is>
      </c>
      <c r="E439" s="5" t="inlineStr">
        <is>
          <t>ANU_EVENTS.FAUNA_TICK</t>
        </is>
      </c>
      <c r="F439" s="5" t="inlineStr"/>
      <c r="G439" s="5" t="inlineStr">
        <is>
          <t>Live</t>
        </is>
      </c>
    </row>
    <row r="440">
      <c r="A440" s="5" t="inlineStr">
        <is>
          <t>EDG-0436</t>
        </is>
      </c>
      <c r="B440" s="5" t="inlineStr">
        <is>
          <t>service-register</t>
        </is>
      </c>
      <c r="C440" s="5" t="inlineStr">
        <is>
          <t>MOD-090</t>
        </is>
      </c>
      <c r="D440" s="5" t="inlineStr">
        <is>
          <t>js/v2/anu/AnuNatureAwareness.js</t>
        </is>
      </c>
      <c r="E440" s="5" t="inlineStr">
        <is>
          <t>service:AnuNatureAwareness</t>
        </is>
      </c>
      <c r="F440" s="5" t="inlineStr"/>
      <c r="G440" s="5" t="inlineStr">
        <is>
          <t>Live</t>
        </is>
      </c>
    </row>
    <row r="441">
      <c r="A441" s="5" t="inlineStr">
        <is>
          <t>EDG-0437</t>
        </is>
      </c>
      <c r="B441" s="5" t="inlineStr">
        <is>
          <t>service-use</t>
        </is>
      </c>
      <c r="C441" s="5" t="inlineStr">
        <is>
          <t>MOD-090</t>
        </is>
      </c>
      <c r="D441" s="5" t="inlineStr">
        <is>
          <t>js/v2/anu/AnuNatureAwareness.js</t>
        </is>
      </c>
      <c r="E441" s="5" t="inlineStr">
        <is>
          <t>service:AnuNatureAwareness</t>
        </is>
      </c>
      <c r="F441" s="5" t="inlineStr"/>
      <c r="G441" s="5" t="inlineStr">
        <is>
          <t>Live</t>
        </is>
      </c>
    </row>
    <row r="442">
      <c r="A442" s="5" t="inlineStr">
        <is>
          <t>EDG-0438</t>
        </is>
      </c>
      <c r="B442" s="5" t="inlineStr">
        <is>
          <t>service-use</t>
        </is>
      </c>
      <c r="C442" s="5" t="inlineStr">
        <is>
          <t>MOD-090</t>
        </is>
      </c>
      <c r="D442" s="5" t="inlineStr">
        <is>
          <t>js/v2/anu/AnuNatureAwareness.js</t>
        </is>
      </c>
      <c r="E442" s="5" t="inlineStr">
        <is>
          <t>service:WorldPhysics</t>
        </is>
      </c>
      <c r="F442" s="5" t="inlineStr"/>
      <c r="G442" s="5" t="inlineStr">
        <is>
          <t>Live</t>
        </is>
      </c>
    </row>
    <row r="443">
      <c r="A443" s="5" t="inlineStr">
        <is>
          <t>EDG-0439</t>
        </is>
      </c>
      <c r="B443" s="5" t="inlineStr">
        <is>
          <t>import</t>
        </is>
      </c>
      <c r="C443" s="5" t="inlineStr">
        <is>
          <t>MOD-091</t>
        </is>
      </c>
      <c r="D443" s="5" t="inlineStr">
        <is>
          <t>js/v2/anu/AnuWorldSensorium.js</t>
        </is>
      </c>
      <c r="E443" s="5" t="inlineStr">
        <is>
          <t>MOD-088</t>
        </is>
      </c>
      <c r="F443" s="5" t="inlineStr">
        <is>
          <t>AnuFuzzyPipelineSensor.js</t>
        </is>
      </c>
      <c r="G443" s="5" t="inlineStr">
        <is>
          <t>Live</t>
        </is>
      </c>
    </row>
    <row r="444">
      <c r="A444" s="5" t="inlineStr">
        <is>
          <t>EDG-0440</t>
        </is>
      </c>
      <c r="B444" s="5" t="inlineStr">
        <is>
          <t>import</t>
        </is>
      </c>
      <c r="C444" s="5" t="inlineStr">
        <is>
          <t>MOD-091</t>
        </is>
      </c>
      <c r="D444" s="5" t="inlineStr">
        <is>
          <t>js/v2/anu/AnuWorldSensorium.js</t>
        </is>
      </c>
      <c r="E444" s="5" t="inlineStr">
        <is>
          <t>MOD-089</t>
        </is>
      </c>
      <c r="F444" s="5" t="inlineStr">
        <is>
          <t>AnuGovernanceRules.js</t>
        </is>
      </c>
      <c r="G444" s="5" t="inlineStr">
        <is>
          <t>Live</t>
        </is>
      </c>
    </row>
    <row r="445">
      <c r="A445" s="5" t="inlineStr">
        <is>
          <t>EDG-0441</t>
        </is>
      </c>
      <c r="B445" s="5" t="inlineStr">
        <is>
          <t>import</t>
        </is>
      </c>
      <c r="C445" s="5" t="inlineStr">
        <is>
          <t>MOD-091</t>
        </is>
      </c>
      <c r="D445" s="5" t="inlineStr">
        <is>
          <t>js/v2/anu/AnuWorldSensorium.js</t>
        </is>
      </c>
      <c r="E445" s="5" t="inlineStr">
        <is>
          <t>MOD-097</t>
        </is>
      </c>
      <c r="F445" s="5" t="inlineStr">
        <is>
          <t>SceneModelInventory.js</t>
        </is>
      </c>
      <c r="G445" s="5" t="inlineStr">
        <is>
          <t>Live</t>
        </is>
      </c>
    </row>
    <row r="446">
      <c r="A446" s="5" t="inlineStr">
        <is>
          <t>EDG-0442</t>
        </is>
      </c>
      <c r="B446" s="5" t="inlineStr">
        <is>
          <t>import</t>
        </is>
      </c>
      <c r="C446" s="5" t="inlineStr">
        <is>
          <t>MOD-091</t>
        </is>
      </c>
      <c r="D446" s="5" t="inlineStr">
        <is>
          <t>js/v2/anu/AnuWorldSensorium.js</t>
        </is>
      </c>
      <c r="E446" s="5" t="inlineStr">
        <is>
          <t>MOD-098</t>
        </is>
      </c>
      <c r="F446" s="5" t="inlineStr">
        <is>
          <t>SimulationController.js</t>
        </is>
      </c>
      <c r="G446" s="5" t="inlineStr">
        <is>
          <t>Live</t>
        </is>
      </c>
    </row>
    <row r="447">
      <c r="A447" s="5" t="inlineStr">
        <is>
          <t>EDG-0443</t>
        </is>
      </c>
      <c r="B447" s="5" t="inlineStr">
        <is>
          <t>import</t>
        </is>
      </c>
      <c r="C447" s="5" t="inlineStr">
        <is>
          <t>MOD-092</t>
        </is>
      </c>
      <c r="D447" s="5" t="inlineStr">
        <is>
          <t>js/v2/anu/FrameBudget.js</t>
        </is>
      </c>
      <c r="E447" s="5" t="inlineStr">
        <is>
          <t>MOD-103</t>
        </is>
      </c>
      <c r="F447" s="5" t="inlineStr">
        <is>
          <t>constants.js</t>
        </is>
      </c>
      <c r="G447" s="5" t="inlineStr">
        <is>
          <t>Live</t>
        </is>
      </c>
    </row>
    <row r="448">
      <c r="A448" s="5" t="inlineStr">
        <is>
          <t>EDG-0444</t>
        </is>
      </c>
      <c r="B448" s="5" t="inlineStr">
        <is>
          <t>global-write</t>
        </is>
      </c>
      <c r="C448" s="5" t="inlineStr">
        <is>
          <t>MOD-092</t>
        </is>
      </c>
      <c r="D448" s="5" t="inlineStr">
        <is>
          <t>js/v2/anu/FrameBudget.js</t>
        </is>
      </c>
      <c r="E448" s="5" t="inlineStr">
        <is>
          <t>window.AnuUniverse</t>
        </is>
      </c>
      <c r="F448" s="5" t="inlineStr"/>
      <c r="G448" s="5" t="inlineStr">
        <is>
          <t>Live</t>
        </is>
      </c>
    </row>
    <row r="449">
      <c r="A449" s="5" t="inlineStr">
        <is>
          <t>EDG-0445</t>
        </is>
      </c>
      <c r="B449" s="5" t="inlineStr">
        <is>
          <t>import</t>
        </is>
      </c>
      <c r="C449" s="5" t="inlineStr">
        <is>
          <t>MOD-094</t>
        </is>
      </c>
      <c r="D449" s="5" t="inlineStr">
        <is>
          <t>js/v2/anu/PipOrthoRingDiskClip.js</t>
        </is>
      </c>
      <c r="E449" s="5" t="inlineStr">
        <is>
          <t>MOD-061</t>
        </is>
      </c>
      <c r="F449" s="5" t="inlineStr">
        <is>
          <t>RuntimeServices.js</t>
        </is>
      </c>
      <c r="G449" s="5" t="inlineStr">
        <is>
          <t>Live</t>
        </is>
      </c>
    </row>
    <row r="450">
      <c r="A450" s="5" t="inlineStr">
        <is>
          <t>EDG-0446</t>
        </is>
      </c>
      <c r="B450" s="5" t="inlineStr">
        <is>
          <t>service-register</t>
        </is>
      </c>
      <c r="C450" s="5" t="inlineStr">
        <is>
          <t>MOD-094</t>
        </is>
      </c>
      <c r="D450" s="5" t="inlineStr">
        <is>
          <t>js/v2/anu/PipOrthoRingDiskClip.js</t>
        </is>
      </c>
      <c r="E450" s="5" t="inlineStr">
        <is>
          <t>service:PipOrthoBranchClip</t>
        </is>
      </c>
      <c r="F450" s="5" t="inlineStr"/>
      <c r="G450" s="5" t="inlineStr">
        <is>
          <t>Live</t>
        </is>
      </c>
    </row>
    <row r="451">
      <c r="A451" s="5" t="inlineStr">
        <is>
          <t>EDG-0447</t>
        </is>
      </c>
      <c r="B451" s="5" t="inlineStr">
        <is>
          <t>import</t>
        </is>
      </c>
      <c r="C451" s="5" t="inlineStr">
        <is>
          <t>MOD-095</t>
        </is>
      </c>
      <c r="D451" s="5" t="inlineStr">
        <is>
          <t>js/v2/anu/PipRenderStrategy.js</t>
        </is>
      </c>
      <c r="E451" s="5" t="inlineStr">
        <is>
          <t>MOD-106</t>
        </is>
      </c>
      <c r="F451" s="5" t="inlineStr">
        <is>
          <t>pipCompassMath.js</t>
        </is>
      </c>
      <c r="G451" s="5" t="inlineStr">
        <is>
          <t>Live</t>
        </is>
      </c>
    </row>
    <row r="452">
      <c r="A452" s="5" t="inlineStr">
        <is>
          <t>EDG-0448</t>
        </is>
      </c>
      <c r="B452" s="5" t="inlineStr">
        <is>
          <t>import</t>
        </is>
      </c>
      <c r="C452" s="5" t="inlineStr">
        <is>
          <t>MOD-096</t>
        </is>
      </c>
      <c r="D452" s="5" t="inlineStr">
        <is>
          <t>js/v2/anu/RenderingGovernor.js</t>
        </is>
      </c>
      <c r="E452" s="5" t="inlineStr">
        <is>
          <t>MOD-103</t>
        </is>
      </c>
      <c r="F452" s="5" t="inlineStr">
        <is>
          <t>constants.js</t>
        </is>
      </c>
      <c r="G452" s="5" t="inlineStr">
        <is>
          <t>Live</t>
        </is>
      </c>
    </row>
    <row r="453">
      <c r="A453" s="5" t="inlineStr">
        <is>
          <t>EDG-0449</t>
        </is>
      </c>
      <c r="B453" s="5" t="inlineStr">
        <is>
          <t>import</t>
        </is>
      </c>
      <c r="C453" s="5" t="inlineStr">
        <is>
          <t>MOD-097</t>
        </is>
      </c>
      <c r="D453" s="5" t="inlineStr">
        <is>
          <t>js/v2/anu/SceneModelInventory.js</t>
        </is>
      </c>
      <c r="E453" s="5" t="inlineStr">
        <is>
          <t>MOD-093</t>
        </is>
      </c>
      <c r="F453" s="5" t="inlineStr">
        <is>
          <t>InteractionBus.js</t>
        </is>
      </c>
      <c r="G453" s="5" t="inlineStr">
        <is>
          <t>Live</t>
        </is>
      </c>
    </row>
    <row r="454">
      <c r="A454" s="5" t="inlineStr">
        <is>
          <t>EDG-0450</t>
        </is>
      </c>
      <c r="B454" s="5" t="inlineStr">
        <is>
          <t>import</t>
        </is>
      </c>
      <c r="C454" s="5" t="inlineStr">
        <is>
          <t>MOD-097</t>
        </is>
      </c>
      <c r="D454" s="5" t="inlineStr">
        <is>
          <t>js/v2/anu/SceneModelInventory.js</t>
        </is>
      </c>
      <c r="E454" s="5" t="inlineStr">
        <is>
          <t>MOD-100</t>
        </is>
      </c>
      <c r="F454" s="5" t="inlineStr">
        <is>
          <t>anuEvents.js</t>
        </is>
      </c>
      <c r="G454" s="5" t="inlineStr">
        <is>
          <t>Live</t>
        </is>
      </c>
    </row>
    <row r="455">
      <c r="A455" s="5" t="inlineStr">
        <is>
          <t>EDG-0451</t>
        </is>
      </c>
      <c r="B455" s="5" t="inlineStr">
        <is>
          <t>anu-event-dispatch</t>
        </is>
      </c>
      <c r="C455" s="5" t="inlineStr">
        <is>
          <t>MOD-097</t>
        </is>
      </c>
      <c r="D455" s="5" t="inlineStr">
        <is>
          <t>js/v2/anu/SceneModelInventory.js</t>
        </is>
      </c>
      <c r="E455" s="5" t="inlineStr">
        <is>
          <t>ANU_EVENTS.SCENE_INVENTORY_TICK</t>
        </is>
      </c>
      <c r="F455" s="5" t="inlineStr"/>
      <c r="G455" s="5" t="inlineStr">
        <is>
          <t>Live</t>
        </is>
      </c>
    </row>
    <row r="456">
      <c r="A456" s="5" t="inlineStr">
        <is>
          <t>EDG-0452</t>
        </is>
      </c>
      <c r="B456" s="5" t="inlineStr">
        <is>
          <t>import</t>
        </is>
      </c>
      <c r="C456" s="5" t="inlineStr">
        <is>
          <t>MOD-098</t>
        </is>
      </c>
      <c r="D456" s="5" t="inlineStr">
        <is>
          <t>js/v2/anu/SimulationController.js</t>
        </is>
      </c>
      <c r="E456" s="5" t="inlineStr">
        <is>
          <t>MOD-097</t>
        </is>
      </c>
      <c r="F456" s="5" t="inlineStr">
        <is>
          <t>SceneModelInventory.js</t>
        </is>
      </c>
      <c r="G456" s="5" t="inlineStr">
        <is>
          <t>Live</t>
        </is>
      </c>
    </row>
    <row r="457">
      <c r="A457" s="5" t="inlineStr">
        <is>
          <t>EDG-0453</t>
        </is>
      </c>
      <c r="B457" s="5" t="inlineStr">
        <is>
          <t>import</t>
        </is>
      </c>
      <c r="C457" s="5" t="inlineStr">
        <is>
          <t>MOD-101</t>
        </is>
      </c>
      <c r="D457" s="5" t="inlineStr">
        <is>
          <t>js/v2/anu/index.js</t>
        </is>
      </c>
      <c r="E457" s="5" t="inlineStr">
        <is>
          <t>MOD-086</t>
        </is>
      </c>
      <c r="F457" s="5" t="inlineStr">
        <is>
          <t>AdaptiveRenderPolicy.js</t>
        </is>
      </c>
      <c r="G457" s="5" t="inlineStr">
        <is>
          <t>Live</t>
        </is>
      </c>
    </row>
    <row r="458">
      <c r="A458" s="5" t="inlineStr">
        <is>
          <t>EDG-0454</t>
        </is>
      </c>
      <c r="B458" s="5" t="inlineStr">
        <is>
          <t>import</t>
        </is>
      </c>
      <c r="C458" s="5" t="inlineStr">
        <is>
          <t>MOD-101</t>
        </is>
      </c>
      <c r="D458" s="5" t="inlineStr">
        <is>
          <t>js/v2/anu/index.js</t>
        </is>
      </c>
      <c r="E458" s="5" t="inlineStr">
        <is>
          <t>MOD-087</t>
        </is>
      </c>
      <c r="F458" s="5" t="inlineStr">
        <is>
          <t>AnuErrorAndStressLedger.js</t>
        </is>
      </c>
      <c r="G458" s="5" t="inlineStr">
        <is>
          <t>Live</t>
        </is>
      </c>
    </row>
    <row r="459">
      <c r="A459" s="5" t="inlineStr">
        <is>
          <t>EDG-0455</t>
        </is>
      </c>
      <c r="B459" s="5" t="inlineStr">
        <is>
          <t>import</t>
        </is>
      </c>
      <c r="C459" s="5" t="inlineStr">
        <is>
          <t>MOD-101</t>
        </is>
      </c>
      <c r="D459" s="5" t="inlineStr">
        <is>
          <t>js/v2/anu/index.js</t>
        </is>
      </c>
      <c r="E459" s="5" t="inlineStr">
        <is>
          <t>MOD-088</t>
        </is>
      </c>
      <c r="F459" s="5" t="inlineStr">
        <is>
          <t>AnuFuzzyPipelineSensor.js</t>
        </is>
      </c>
      <c r="G459" s="5" t="inlineStr">
        <is>
          <t>Live</t>
        </is>
      </c>
    </row>
    <row r="460">
      <c r="A460" s="5" t="inlineStr">
        <is>
          <t>EDG-0456</t>
        </is>
      </c>
      <c r="B460" s="5" t="inlineStr">
        <is>
          <t>import</t>
        </is>
      </c>
      <c r="C460" s="5" t="inlineStr">
        <is>
          <t>MOD-101</t>
        </is>
      </c>
      <c r="D460" s="5" t="inlineStr">
        <is>
          <t>js/v2/anu/index.js</t>
        </is>
      </c>
      <c r="E460" s="5" t="inlineStr">
        <is>
          <t>MOD-089</t>
        </is>
      </c>
      <c r="F460" s="5" t="inlineStr">
        <is>
          <t>AnuGovernanceRules.js</t>
        </is>
      </c>
      <c r="G460" s="5" t="inlineStr">
        <is>
          <t>Live</t>
        </is>
      </c>
    </row>
    <row r="461">
      <c r="A461" s="5" t="inlineStr">
        <is>
          <t>EDG-0457</t>
        </is>
      </c>
      <c r="B461" s="5" t="inlineStr">
        <is>
          <t>import</t>
        </is>
      </c>
      <c r="C461" s="5" t="inlineStr">
        <is>
          <t>MOD-101</t>
        </is>
      </c>
      <c r="D461" s="5" t="inlineStr">
        <is>
          <t>js/v2/anu/index.js</t>
        </is>
      </c>
      <c r="E461" s="5" t="inlineStr">
        <is>
          <t>MOD-091</t>
        </is>
      </c>
      <c r="F461" s="5" t="inlineStr">
        <is>
          <t>AnuWorldSensorium.js</t>
        </is>
      </c>
      <c r="G461" s="5" t="inlineStr">
        <is>
          <t>Live</t>
        </is>
      </c>
    </row>
    <row r="462">
      <c r="A462" s="5" t="inlineStr">
        <is>
          <t>EDG-0458</t>
        </is>
      </c>
      <c r="B462" s="5" t="inlineStr">
        <is>
          <t>import</t>
        </is>
      </c>
      <c r="C462" s="5" t="inlineStr">
        <is>
          <t>MOD-101</t>
        </is>
      </c>
      <c r="D462" s="5" t="inlineStr">
        <is>
          <t>js/v2/anu/index.js</t>
        </is>
      </c>
      <c r="E462" s="5" t="inlineStr">
        <is>
          <t>MOD-092</t>
        </is>
      </c>
      <c r="F462" s="5" t="inlineStr">
        <is>
          <t>FrameBudget.js</t>
        </is>
      </c>
      <c r="G462" s="5" t="inlineStr">
        <is>
          <t>Live</t>
        </is>
      </c>
    </row>
    <row r="463">
      <c r="A463" s="5" t="inlineStr">
        <is>
          <t>EDG-0459</t>
        </is>
      </c>
      <c r="B463" s="5" t="inlineStr">
        <is>
          <t>import</t>
        </is>
      </c>
      <c r="C463" s="5" t="inlineStr">
        <is>
          <t>MOD-101</t>
        </is>
      </c>
      <c r="D463" s="5" t="inlineStr">
        <is>
          <t>js/v2/anu/index.js</t>
        </is>
      </c>
      <c r="E463" s="5" t="inlineStr">
        <is>
          <t>MOD-093</t>
        </is>
      </c>
      <c r="F463" s="5" t="inlineStr">
        <is>
          <t>InteractionBus.js</t>
        </is>
      </c>
      <c r="G463" s="5" t="inlineStr">
        <is>
          <t>Live</t>
        </is>
      </c>
    </row>
    <row r="464">
      <c r="A464" s="5" t="inlineStr">
        <is>
          <t>EDG-0460</t>
        </is>
      </c>
      <c r="B464" s="5" t="inlineStr">
        <is>
          <t>import</t>
        </is>
      </c>
      <c r="C464" s="5" t="inlineStr">
        <is>
          <t>MOD-101</t>
        </is>
      </c>
      <c r="D464" s="5" t="inlineStr">
        <is>
          <t>js/v2/anu/index.js</t>
        </is>
      </c>
      <c r="E464" s="5" t="inlineStr">
        <is>
          <t>MOD-095</t>
        </is>
      </c>
      <c r="F464" s="5" t="inlineStr">
        <is>
          <t>PipRenderStrategy.js</t>
        </is>
      </c>
      <c r="G464" s="5" t="inlineStr">
        <is>
          <t>Live</t>
        </is>
      </c>
    </row>
    <row r="465">
      <c r="A465" s="5" t="inlineStr">
        <is>
          <t>EDG-0461</t>
        </is>
      </c>
      <c r="B465" s="5" t="inlineStr">
        <is>
          <t>import</t>
        </is>
      </c>
      <c r="C465" s="5" t="inlineStr">
        <is>
          <t>MOD-101</t>
        </is>
      </c>
      <c r="D465" s="5" t="inlineStr">
        <is>
          <t>js/v2/anu/index.js</t>
        </is>
      </c>
      <c r="E465" s="5" t="inlineStr">
        <is>
          <t>MOD-096</t>
        </is>
      </c>
      <c r="F465" s="5" t="inlineStr">
        <is>
          <t>RenderingGovernor.js</t>
        </is>
      </c>
      <c r="G465" s="5" t="inlineStr">
        <is>
          <t>Live</t>
        </is>
      </c>
    </row>
    <row r="466">
      <c r="A466" s="5" t="inlineStr">
        <is>
          <t>EDG-0462</t>
        </is>
      </c>
      <c r="B466" s="5" t="inlineStr">
        <is>
          <t>import</t>
        </is>
      </c>
      <c r="C466" s="5" t="inlineStr">
        <is>
          <t>MOD-101</t>
        </is>
      </c>
      <c r="D466" s="5" t="inlineStr">
        <is>
          <t>js/v2/anu/index.js</t>
        </is>
      </c>
      <c r="E466" s="5" t="inlineStr">
        <is>
          <t>MOD-097</t>
        </is>
      </c>
      <c r="F466" s="5" t="inlineStr">
        <is>
          <t>SceneModelInventory.js</t>
        </is>
      </c>
      <c r="G466" s="5" t="inlineStr">
        <is>
          <t>Live</t>
        </is>
      </c>
    </row>
    <row r="467">
      <c r="A467" s="5" t="inlineStr">
        <is>
          <t>EDG-0463</t>
        </is>
      </c>
      <c r="B467" s="5" t="inlineStr">
        <is>
          <t>import</t>
        </is>
      </c>
      <c r="C467" s="5" t="inlineStr">
        <is>
          <t>MOD-101</t>
        </is>
      </c>
      <c r="D467" s="5" t="inlineStr">
        <is>
          <t>js/v2/anu/index.js</t>
        </is>
      </c>
      <c r="E467" s="5" t="inlineStr">
        <is>
          <t>MOD-098</t>
        </is>
      </c>
      <c r="F467" s="5" t="inlineStr">
        <is>
          <t>SimulationController.js</t>
        </is>
      </c>
      <c r="G467" s="5" t="inlineStr">
        <is>
          <t>Live</t>
        </is>
      </c>
    </row>
    <row r="468">
      <c r="A468" s="5" t="inlineStr">
        <is>
          <t>EDG-0464</t>
        </is>
      </c>
      <c r="B468" s="5" t="inlineStr">
        <is>
          <t>import</t>
        </is>
      </c>
      <c r="C468" s="5" t="inlineStr">
        <is>
          <t>MOD-101</t>
        </is>
      </c>
      <c r="D468" s="5" t="inlineStr">
        <is>
          <t>js/v2/anu/index.js</t>
        </is>
      </c>
      <c r="E468" s="5" t="inlineStr">
        <is>
          <t>MOD-100</t>
        </is>
      </c>
      <c r="F468" s="5" t="inlineStr">
        <is>
          <t>anuEvents.js</t>
        </is>
      </c>
      <c r="G468" s="5" t="inlineStr">
        <is>
          <t>Live</t>
        </is>
      </c>
    </row>
    <row r="469">
      <c r="A469" s="5" t="inlineStr">
        <is>
          <t>EDG-0465</t>
        </is>
      </c>
      <c r="B469" s="5" t="inlineStr">
        <is>
          <t>asset</t>
        </is>
      </c>
      <c r="C469" s="5" t="inlineStr">
        <is>
          <t>MOD-102</t>
        </is>
      </c>
      <c r="D469" s="5" t="inlineStr">
        <is>
          <t>js/v2/anu/pipelineMemory.js</t>
        </is>
      </c>
      <c r="E469" s="5" t="inlineStr">
        <is>
          <t>Assets/&lt;NAME&gt;.glb</t>
        </is>
      </c>
      <c r="F469" s="5" t="inlineStr"/>
      <c r="G469" s="5" t="inlineStr">
        <is>
          <t>Live</t>
        </is>
      </c>
    </row>
    <row r="470">
      <c r="A470" s="5" t="inlineStr">
        <is>
          <t>EDG-0466</t>
        </is>
      </c>
      <c r="B470" s="5" t="inlineStr">
        <is>
          <t>asset</t>
        </is>
      </c>
      <c r="C470" s="5" t="inlineStr">
        <is>
          <t>MOD-102</t>
        </is>
      </c>
      <c r="D470" s="5" t="inlineStr">
        <is>
          <t>js/v2/anu/pipelineMemory.js</t>
        </is>
      </c>
      <c r="E470" s="5" t="inlineStr">
        <is>
          <t>Assets/Avatar3.glb</t>
        </is>
      </c>
      <c r="F470" s="5" t="inlineStr"/>
      <c r="G470" s="5" t="inlineStr">
        <is>
          <t>Live</t>
        </is>
      </c>
    </row>
    <row r="471">
      <c r="A471" s="5" t="inlineStr">
        <is>
          <t>EDG-0467</t>
        </is>
      </c>
      <c r="B471" s="5" t="inlineStr">
        <is>
          <t>asset</t>
        </is>
      </c>
      <c r="C471" s="5" t="inlineStr">
        <is>
          <t>MOD-102</t>
        </is>
      </c>
      <c r="D471" s="5" t="inlineStr">
        <is>
          <t>js/v2/anu/pipelineMemory.js</t>
        </is>
      </c>
      <c r="E471" s="5" t="inlineStr">
        <is>
          <t>Assets/NPC.BHG.glb</t>
        </is>
      </c>
      <c r="F471" s="5" t="inlineStr"/>
      <c r="G471" s="5" t="inlineStr">
        <is>
          <t>Live</t>
        </is>
      </c>
    </row>
    <row r="472">
      <c r="A472" s="5" t="inlineStr">
        <is>
          <t>EDG-0468</t>
        </is>
      </c>
      <c r="B472" s="5" t="inlineStr">
        <is>
          <t>asset</t>
        </is>
      </c>
      <c r="C472" s="5" t="inlineStr">
        <is>
          <t>MOD-102</t>
        </is>
      </c>
      <c r="D472" s="5" t="inlineStr">
        <is>
          <t>js/v2/anu/pipelineMemory.js</t>
        </is>
      </c>
      <c r="E472" s="5" t="inlineStr">
        <is>
          <t>Assets/NPC.YB.glb</t>
        </is>
      </c>
      <c r="F472" s="5" t="inlineStr"/>
      <c r="G472" s="5" t="inlineStr">
        <is>
          <t>Live</t>
        </is>
      </c>
    </row>
    <row r="473">
      <c r="A473" s="5" t="inlineStr">
        <is>
          <t>EDG-0469</t>
        </is>
      </c>
      <c r="B473" s="5" t="inlineStr">
        <is>
          <t>asset</t>
        </is>
      </c>
      <c r="C473" s="5" t="inlineStr">
        <is>
          <t>MOD-102</t>
        </is>
      </c>
      <c r="D473" s="5" t="inlineStr">
        <is>
          <t>js/v2/anu/pipelineMemory.js</t>
        </is>
      </c>
      <c r="E473" s="5" t="inlineStr">
        <is>
          <t>Assets/Tipi.yellowbutterfly/tipi.yellowbutterfly.glb</t>
        </is>
      </c>
      <c r="F473" s="5" t="inlineStr"/>
      <c r="G473" s="5" t="inlineStr">
        <is>
          <t>Live</t>
        </is>
      </c>
    </row>
    <row r="474">
      <c r="A474" s="5" t="inlineStr">
        <is>
          <t>EDG-0470</t>
        </is>
      </c>
      <c r="B474" s="5" t="inlineStr">
        <is>
          <t>asset</t>
        </is>
      </c>
      <c r="C474" s="5" t="inlineStr">
        <is>
          <t>MOD-102</t>
        </is>
      </c>
      <c r="D474" s="5" t="inlineStr">
        <is>
          <t>js/v2/anu/pipelineMemory.js</t>
        </is>
      </c>
      <c r="E474" s="5" t="inlineStr">
        <is>
          <t>Assets/[removed]/little_pond__fish/scene.gltf</t>
        </is>
      </c>
      <c r="F474" s="5" t="inlineStr"/>
      <c r="G474" s="5" t="inlineStr">
        <is>
          <t>Live</t>
        </is>
      </c>
    </row>
    <row r="475">
      <c r="A475" s="5" t="inlineStr">
        <is>
          <t>EDG-0471</t>
        </is>
      </c>
      <c r="B475" s="5" t="inlineStr">
        <is>
          <t>asset</t>
        </is>
      </c>
      <c r="C475" s="5" t="inlineStr">
        <is>
          <t>MOD-102</t>
        </is>
      </c>
      <c r="D475" s="5" t="inlineStr">
        <is>
          <t>js/v2/anu/pipelineMemory.js</t>
        </is>
      </c>
      <c r="E475" s="5" t="inlineStr">
        <is>
          <t>Assets/animated.deer/source/[deer+3d+model].glb</t>
        </is>
      </c>
      <c r="F475" s="5" t="inlineStr"/>
      <c r="G475" s="5" t="inlineStr">
        <is>
          <t>Live</t>
        </is>
      </c>
    </row>
    <row r="476">
      <c r="A476" s="5" t="inlineStr">
        <is>
          <t>EDG-0472</t>
        </is>
      </c>
      <c r="B476" s="5" t="inlineStr">
        <is>
          <t>asset</t>
        </is>
      </c>
      <c r="C476" s="5" t="inlineStr">
        <is>
          <t>MOD-102</t>
        </is>
      </c>
      <c r="D476" s="5" t="inlineStr">
        <is>
          <t>js/v2/anu/pipelineMemory.js</t>
        </is>
      </c>
      <c r="E476" s="5" t="inlineStr">
        <is>
          <t>Assets/animated.stag.glb</t>
        </is>
      </c>
      <c r="F476" s="5" t="inlineStr"/>
      <c r="G476" s="5" t="inlineStr">
        <is>
          <t>Live</t>
        </is>
      </c>
    </row>
    <row r="477">
      <c r="A477" s="5" t="inlineStr">
        <is>
          <t>EDG-0473</t>
        </is>
      </c>
      <c r="B477" s="5" t="inlineStr">
        <is>
          <t>asset</t>
        </is>
      </c>
      <c r="C477" s="5" t="inlineStr">
        <is>
          <t>MOD-102</t>
        </is>
      </c>
      <c r="D477" s="5" t="inlineStr">
        <is>
          <t>js/v2/anu/pipelineMemory.js</t>
        </is>
      </c>
      <c r="E477" s="5" t="inlineStr">
        <is>
          <t>Assets/bush.glb</t>
        </is>
      </c>
      <c r="F477" s="5" t="inlineStr"/>
      <c r="G477" s="5" t="inlineStr">
        <is>
          <t>Live</t>
        </is>
      </c>
    </row>
    <row r="478">
      <c r="A478" s="5" t="inlineStr">
        <is>
          <t>EDG-0474</t>
        </is>
      </c>
      <c r="B478" s="5" t="inlineStr">
        <is>
          <t>asset</t>
        </is>
      </c>
      <c r="C478" s="5" t="inlineStr">
        <is>
          <t>MOD-102</t>
        </is>
      </c>
      <c r="D478" s="5" t="inlineStr">
        <is>
          <t>js/v2/anu/pipelineMemory.js</t>
        </is>
      </c>
      <c r="E478" s="5" t="inlineStr">
        <is>
          <t>Assets/flora/reeds.glb</t>
        </is>
      </c>
      <c r="F478" s="5" t="inlineStr"/>
      <c r="G478" s="5" t="inlineStr">
        <is>
          <t>Live</t>
        </is>
      </c>
    </row>
    <row r="479">
      <c r="A479" s="5" t="inlineStr">
        <is>
          <t>EDG-0475</t>
        </is>
      </c>
      <c r="B479" s="5" t="inlineStr">
        <is>
          <t>asset</t>
        </is>
      </c>
      <c r="C479" s="5" t="inlineStr">
        <is>
          <t>MOD-102</t>
        </is>
      </c>
      <c r="D479" s="5" t="inlineStr">
        <is>
          <t>js/v2/anu/pipelineMemory.js</t>
        </is>
      </c>
      <c r="E479" s="5" t="inlineStr">
        <is>
          <t>Assets/landscape-scenes/terrain/rock.mossy.glb</t>
        </is>
      </c>
      <c r="F479" s="5" t="inlineStr"/>
      <c r="G479" s="5" t="inlineStr">
        <is>
          <t>Live</t>
        </is>
      </c>
    </row>
    <row r="480">
      <c r="A480" s="5" t="inlineStr">
        <is>
          <t>EDG-0476</t>
        </is>
      </c>
      <c r="B480" s="5" t="inlineStr">
        <is>
          <t>asset</t>
        </is>
      </c>
      <c r="C480" s="5" t="inlineStr">
        <is>
          <t>MOD-102</t>
        </is>
      </c>
      <c r="D480" s="5" t="inlineStr">
        <is>
          <t>js/v2/anu/pipelineMemory.js</t>
        </is>
      </c>
      <c r="E480" s="5" t="inlineStr">
        <is>
          <t>Assets/pond1.glb</t>
        </is>
      </c>
      <c r="F480" s="5" t="inlineStr"/>
      <c r="G480" s="5" t="inlineStr">
        <is>
          <t>Live</t>
        </is>
      </c>
    </row>
    <row r="481">
      <c r="A481" s="5" t="inlineStr">
        <is>
          <t>EDG-0477</t>
        </is>
      </c>
      <c r="B481" s="5" t="inlineStr">
        <is>
          <t>asset</t>
        </is>
      </c>
      <c r="C481" s="5" t="inlineStr">
        <is>
          <t>MOD-102</t>
        </is>
      </c>
      <c r="D481" s="5" t="inlineStr">
        <is>
          <t>js/v2/anu/pipelineMemory.js</t>
        </is>
      </c>
      <c r="E481" s="5" t="inlineStr">
        <is>
          <t>Assets/rabbit.animated.glb</t>
        </is>
      </c>
      <c r="F481" s="5" t="inlineStr"/>
      <c r="G481" s="5" t="inlineStr">
        <is>
          <t>Live</t>
        </is>
      </c>
    </row>
    <row r="482">
      <c r="A482" s="5" t="inlineStr">
        <is>
          <t>EDG-0478</t>
        </is>
      </c>
      <c r="B482" s="5" t="inlineStr">
        <is>
          <t>asset</t>
        </is>
      </c>
      <c r="C482" s="5" t="inlineStr">
        <is>
          <t>MOD-102</t>
        </is>
      </c>
      <c r="D482" s="5" t="inlineStr">
        <is>
          <t>js/v2/anu/pipelineMemory.js</t>
        </is>
      </c>
      <c r="E482" s="5" t="inlineStr">
        <is>
          <t>Assets/tree.glb</t>
        </is>
      </c>
      <c r="F482" s="5" t="inlineStr"/>
      <c r="G482" s="5" t="inlineStr">
        <is>
          <t>Live</t>
        </is>
      </c>
    </row>
    <row r="483">
      <c r="A483" s="5" t="inlineStr">
        <is>
          <t>EDG-0479</t>
        </is>
      </c>
      <c r="B483" s="5" t="inlineStr">
        <is>
          <t>postMessage</t>
        </is>
      </c>
      <c r="C483" s="5" t="inlineStr">
        <is>
          <t>MOD-102</t>
        </is>
      </c>
      <c r="D483" s="5" t="inlineStr">
        <is>
          <t>js/v2/anu/pipelineMemory.js</t>
        </is>
      </c>
      <c r="E483" s="5" t="inlineStr">
        <is>
          <t>msg:REQ_AUTOWALK_TO_ENTITY</t>
        </is>
      </c>
      <c r="F483" s="5" t="inlineStr"/>
      <c r="G483" s="5" t="inlineStr">
        <is>
          <t>Live</t>
        </is>
      </c>
    </row>
    <row r="484">
      <c r="A484" s="5" t="inlineStr">
        <is>
          <t>EDG-0480</t>
        </is>
      </c>
      <c r="B484" s="5" t="inlineStr">
        <is>
          <t>asset</t>
        </is>
      </c>
      <c r="C484" s="5" t="inlineStr">
        <is>
          <t>MOD-103</t>
        </is>
      </c>
      <c r="D484" s="5" t="inlineStr">
        <is>
          <t>js/v2/constants.js</t>
        </is>
      </c>
      <c r="E484" s="5" t="inlineStr">
        <is>
          <t>Assets/NPC.YB.glb</t>
        </is>
      </c>
      <c r="F484" s="5" t="inlineStr"/>
      <c r="G484" s="5" t="inlineStr">
        <is>
          <t>Live</t>
        </is>
      </c>
    </row>
    <row r="485">
      <c r="A485" s="5" t="inlineStr">
        <is>
          <t>EDG-0481</t>
        </is>
      </c>
      <c r="B485" s="5" t="inlineStr">
        <is>
          <t>asset</t>
        </is>
      </c>
      <c r="C485" s="5" t="inlineStr">
        <is>
          <t>MOD-103</t>
        </is>
      </c>
      <c r="D485" s="5" t="inlineStr">
        <is>
          <t>js/v2/constants.js</t>
        </is>
      </c>
      <c r="E485" s="5" t="inlineStr">
        <is>
          <t>Assets/tree.glb</t>
        </is>
      </c>
      <c r="F485" s="5" t="inlineStr"/>
      <c r="G485" s="5" t="inlineStr">
        <is>
          <t>Live</t>
        </is>
      </c>
    </row>
  </sheetData>
  <autoFilter ref="A4:G4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8" customWidth="1" min="3" max="3"/>
    <col width="8" customWidth="1" min="4" max="4"/>
    <col width="34" customWidth="1" min="5" max="5"/>
    <col width="50" customWidth="1" min="6" max="6"/>
    <col width="30" customWidth="1" min="7" max="7"/>
  </cols>
  <sheetData>
    <row r="1">
      <c r="A1" s="9" t="inlineStr">
        <is>
          <t>Globals registry</t>
        </is>
      </c>
    </row>
    <row r="2">
      <c r="A2" s="10" t="inlineStr">
        <is>
          <t>Live files only · sorted by how many files touch the name</t>
        </is>
      </c>
    </row>
    <row r="4" ht="30" customHeight="1">
      <c r="A4" s="12" t="inlineStr">
        <is>
          <t>Global ID</t>
        </is>
      </c>
      <c r="B4" s="12" t="inlineStr">
        <is>
          <t>Name</t>
        </is>
      </c>
      <c r="C4" s="12" t="inlineStr">
        <is>
          <t>Live writers</t>
        </is>
      </c>
      <c r="D4" s="12" t="inlineStr">
        <is>
          <t>Live readers</t>
        </is>
      </c>
      <c r="E4" s="12" t="inlineStr">
        <is>
          <t>Writer MOD IDs</t>
        </is>
      </c>
      <c r="F4" s="12" t="inlineStr">
        <is>
          <t>Reader MOD IDs</t>
        </is>
      </c>
      <c r="G4" s="12" t="inlineStr">
        <is>
          <t>Pattern</t>
        </is>
      </c>
    </row>
    <row r="5">
      <c r="A5" s="5" t="inlineStr">
        <is>
          <t>GLB-001</t>
        </is>
      </c>
      <c r="B5" s="5" t="inlineStr">
        <is>
          <t>window.SanctuaryMutations</t>
        </is>
      </c>
      <c r="C5" s="5" t="n">
        <v>1</v>
      </c>
      <c r="D5" s="5" t="n">
        <v>10</v>
      </c>
      <c r="E5" s="5" t="inlineStr">
        <is>
          <t>MOD-033</t>
        </is>
      </c>
      <c r="F5" s="5" t="inlineStr">
        <is>
          <t>MOD-003, MOD-004, MOD-005, MOD-006, MOD-007, MOD-008, MOD-009, MOD-015, MOD-016, MOD-040</t>
        </is>
      </c>
      <c r="G5" s="5" t="inlineStr">
        <is>
          <t>Cross-module (written by one, read by another)</t>
        </is>
      </c>
    </row>
    <row r="6">
      <c r="A6" s="5" t="inlineStr">
        <is>
          <t>GLB-002</t>
        </is>
      </c>
      <c r="B6" s="5" t="inlineStr">
        <is>
          <t>window.__sanctuaryAvatar</t>
        </is>
      </c>
      <c r="C6" s="5" t="n">
        <v>1</v>
      </c>
      <c r="D6" s="5" t="n">
        <v>10</v>
      </c>
      <c r="E6" s="5" t="inlineStr">
        <is>
          <t>MOD-011</t>
        </is>
      </c>
      <c r="F6" s="5" t="inlineStr">
        <is>
          <t>MOD-010, MOD-015, MOD-021, MOD-023, MOD-031, MOD-037, MOD-038, MOD-043, MOD-044, MOD-046</t>
        </is>
      </c>
      <c r="G6" s="5" t="inlineStr">
        <is>
          <t>Cross-module (written by one, read by another)</t>
        </is>
      </c>
    </row>
    <row r="7">
      <c r="A7" s="5" t="inlineStr">
        <is>
          <t>GLB-003</t>
        </is>
      </c>
      <c r="B7" s="5" t="inlineStr">
        <is>
          <t>window.addEventListener</t>
        </is>
      </c>
      <c r="C7" s="5" t="n">
        <v>0</v>
      </c>
      <c r="D7" s="5" t="n">
        <v>11</v>
      </c>
      <c r="E7" s="5" t="inlineStr"/>
      <c r="F7" s="5" t="inlineStr">
        <is>
          <t>MOD-010, MOD-012, MOD-017, MOD-023, MOD-030, MOD-031, MOD-045, MOD-051, MOD-059, MOD-060, MOD-102</t>
        </is>
      </c>
      <c r="G7" s="5" t="inlineStr">
        <is>
          <t>Read-only here (written elsewhere/HTML)</t>
        </is>
      </c>
    </row>
    <row r="8">
      <c r="A8" s="5" t="inlineStr">
        <is>
          <t>GLB-004</t>
        </is>
      </c>
      <c r="B8" s="5" t="inlineStr">
        <is>
          <t>window.AnuUniverse</t>
        </is>
      </c>
      <c r="C8" s="5" t="n">
        <v>2</v>
      </c>
      <c r="D8" s="5" t="n">
        <v>7</v>
      </c>
      <c r="E8" s="5" t="inlineStr">
        <is>
          <t>MOD-049, MOD-092</t>
        </is>
      </c>
      <c r="F8" s="5" t="inlineStr">
        <is>
          <t>MOD-002, MOD-023, MOD-030, MOD-059, MOD-060, MOD-086, MOD-102</t>
        </is>
      </c>
      <c r="G8" s="5" t="inlineStr">
        <is>
          <t>Cross-module (written by one, read by another)</t>
        </is>
      </c>
    </row>
    <row r="9">
      <c r="A9" s="5" t="inlineStr">
        <is>
          <t>GLB-005</t>
        </is>
      </c>
      <c r="B9" s="5" t="inlineStr">
        <is>
          <t>window.anuOrchestrator</t>
        </is>
      </c>
      <c r="C9" s="5" t="n">
        <v>1</v>
      </c>
      <c r="D9" s="5" t="n">
        <v>7</v>
      </c>
      <c r="E9" s="5" t="inlineStr">
        <is>
          <t>MOD-059</t>
        </is>
      </c>
      <c r="F9" s="5" t="inlineStr">
        <is>
          <t>MOD-021, MOD-023, MOD-030, MOD-049, MOD-088, MOD-089, MOD-098</t>
        </is>
      </c>
      <c r="G9" s="5" t="inlineStr">
        <is>
          <t>Cross-module (written by one, read by another)</t>
        </is>
      </c>
    </row>
    <row r="10">
      <c r="A10" s="5" t="inlineStr">
        <is>
          <t>GLB-006</t>
        </is>
      </c>
      <c r="B10" s="5" t="inlineStr">
        <is>
          <t>window.__sanctuaryWaterY</t>
        </is>
      </c>
      <c r="C10" s="5" t="n">
        <v>1</v>
      </c>
      <c r="D10" s="5" t="n">
        <v>6</v>
      </c>
      <c r="E10" s="5" t="inlineStr">
        <is>
          <t>MOD-035</t>
        </is>
      </c>
      <c r="F10" s="5" t="inlineStr">
        <is>
          <t>MOD-007, MOD-011, MOD-014, MOD-021, MOD-022, MOD-027</t>
        </is>
      </c>
      <c r="G10" s="5" t="inlineStr">
        <is>
          <t>Cross-module (written by one, read by another)</t>
        </is>
      </c>
    </row>
    <row r="11">
      <c r="A11" s="5" t="inlineStr">
        <is>
          <t>GLB-007</t>
        </is>
      </c>
      <c r="B11" s="5" t="inlineStr">
        <is>
          <t>window.removeEventListener</t>
        </is>
      </c>
      <c r="C11" s="5" t="n">
        <v>0</v>
      </c>
      <c r="D11" s="5" t="n">
        <v>7</v>
      </c>
      <c r="E11" s="5" t="inlineStr"/>
      <c r="F11" s="5" t="inlineStr">
        <is>
          <t>MOD-010, MOD-012, MOD-017, MOD-023, MOD-030, MOD-031, MOD-059</t>
        </is>
      </c>
      <c r="G11" s="5" t="inlineStr">
        <is>
          <t>Read-only here (written elsewhere/HTML)</t>
        </is>
      </c>
    </row>
    <row r="12">
      <c r="A12" s="5" t="inlineStr">
        <is>
          <t>GLB-008</t>
        </is>
      </c>
      <c r="B12" s="5" t="inlineStr">
        <is>
          <t>window.sanctuaryPulse</t>
        </is>
      </c>
      <c r="C12" s="5" t="n">
        <v>1</v>
      </c>
      <c r="D12" s="5" t="n">
        <v>5</v>
      </c>
      <c r="E12" s="5" t="inlineStr">
        <is>
          <t>MOD-014</t>
        </is>
      </c>
      <c r="F12" s="5" t="inlineStr">
        <is>
          <t>MOD-007, MOD-021, MOD-022, MOD-023, MOD-026</t>
        </is>
      </c>
      <c r="G12" s="5" t="inlineStr">
        <is>
          <t>Cross-module (written by one, read by another)</t>
        </is>
      </c>
    </row>
    <row r="13">
      <c r="A13" s="5" t="inlineStr">
        <is>
          <t>GLB-009</t>
        </is>
      </c>
      <c r="B13" s="5" t="inlineStr">
        <is>
          <t>window.__sanctuaryMapType</t>
        </is>
      </c>
      <c r="C13" s="5" t="n">
        <v>1</v>
      </c>
      <c r="D13" s="5" t="n">
        <v>4</v>
      </c>
      <c r="E13" s="5" t="inlineStr">
        <is>
          <t>MOD-040</t>
        </is>
      </c>
      <c r="F13" s="5" t="inlineStr">
        <is>
          <t>MOD-012, MOD-019, MOD-038, MOD-039</t>
        </is>
      </c>
      <c r="G13" s="5" t="inlineStr">
        <is>
          <t>Cross-module (written by one, read by another)</t>
        </is>
      </c>
    </row>
    <row r="14">
      <c r="A14" s="5" t="inlineStr">
        <is>
          <t>GLB-010</t>
        </is>
      </c>
      <c r="B14" s="5" t="inlineStr">
        <is>
          <t>window.__sanctuaryPlayerYaw</t>
        </is>
      </c>
      <c r="C14" s="5" t="n">
        <v>4</v>
      </c>
      <c r="D14" s="5" t="n">
        <v>1</v>
      </c>
      <c r="E14" s="5" t="inlineStr">
        <is>
          <t>MOD-011, MOD-015, MOD-023, MOD-031</t>
        </is>
      </c>
      <c r="F14" s="5" t="inlineStr">
        <is>
          <t>MOD-046</t>
        </is>
      </c>
      <c r="G14" s="5" t="inlineStr">
        <is>
          <t>Cross-module (written by one, read by another)</t>
        </is>
      </c>
    </row>
    <row r="15">
      <c r="A15" s="5" t="inlineStr">
        <is>
          <t>GLB-011</t>
        </is>
      </c>
      <c r="B15" s="5" t="inlineStr">
        <is>
          <t>window.localStorage</t>
        </is>
      </c>
      <c r="C15" s="5" t="n">
        <v>0</v>
      </c>
      <c r="D15" s="5" t="n">
        <v>5</v>
      </c>
      <c r="E15" s="5" t="inlineStr"/>
      <c r="F15" s="5" t="inlineStr">
        <is>
          <t>MOD-011, MOD-016, MOD-033, MOD-057, MOD-059</t>
        </is>
      </c>
      <c r="G15" s="5" t="inlineStr">
        <is>
          <t>Read-only here (written elsewhere/HTML)</t>
        </is>
      </c>
    </row>
    <row r="16">
      <c r="A16" s="5" t="inlineStr">
        <is>
          <t>GLB-012</t>
        </is>
      </c>
      <c r="B16" s="5" t="inlineStr">
        <is>
          <t>window.WorldPlayer</t>
        </is>
      </c>
      <c r="C16" s="5" t="n">
        <v>1</v>
      </c>
      <c r="D16" s="5" t="n">
        <v>3</v>
      </c>
      <c r="E16" s="5" t="inlineStr">
        <is>
          <t>MOD-046</t>
        </is>
      </c>
      <c r="F16" s="5" t="inlineStr">
        <is>
          <t>MOD-026, MOD-059, MOD-064</t>
        </is>
      </c>
      <c r="G16" s="5" t="inlineStr">
        <is>
          <t>Cross-module (written by one, read by another)</t>
        </is>
      </c>
    </row>
    <row r="17">
      <c r="A17" s="5" t="inlineStr">
        <is>
          <t>GLB-013</t>
        </is>
      </c>
      <c r="B17" s="5" t="inlineStr">
        <is>
          <t>window.__sanctuaryBobberPos</t>
        </is>
      </c>
      <c r="C17" s="5" t="n">
        <v>1</v>
      </c>
      <c r="D17" s="5" t="n">
        <v>3</v>
      </c>
      <c r="E17" s="5" t="inlineStr">
        <is>
          <t>MOD-023</t>
        </is>
      </c>
      <c r="F17" s="5" t="inlineStr">
        <is>
          <t>MOD-021, MOD-026, MOD-059</t>
        </is>
      </c>
      <c r="G17" s="5" t="inlineStr">
        <is>
          <t>Cross-module (written by one, read by another)</t>
        </is>
      </c>
    </row>
    <row r="18">
      <c r="A18" s="5" t="inlineStr">
        <is>
          <t>GLB-014</t>
        </is>
      </c>
      <c r="B18" s="5" t="inlineStr">
        <is>
          <t>window.__sanctuaryDockSurface</t>
        </is>
      </c>
      <c r="C18" s="5" t="n">
        <v>1</v>
      </c>
      <c r="D18" s="5" t="n">
        <v>3</v>
      </c>
      <c r="E18" s="5" t="inlineStr">
        <is>
          <t>MOD-019</t>
        </is>
      </c>
      <c r="F18" s="5" t="inlineStr">
        <is>
          <t>MOD-011, MOD-015, MOD-027</t>
        </is>
      </c>
      <c r="G18" s="5" t="inlineStr">
        <is>
          <t>Cross-module (written by one, read by another)</t>
        </is>
      </c>
    </row>
    <row r="19">
      <c r="A19" s="5" t="inlineStr">
        <is>
          <t>GLB-015</t>
        </is>
      </c>
      <c r="B19" s="5" t="inlineStr">
        <is>
          <t>window.__sanctuaryFishSchool</t>
        </is>
      </c>
      <c r="C19" s="5" t="n">
        <v>1</v>
      </c>
      <c r="D19" s="5" t="n">
        <v>3</v>
      </c>
      <c r="E19" s="5" t="inlineStr">
        <is>
          <t>MOD-021</t>
        </is>
      </c>
      <c r="F19" s="5" t="inlineStr">
        <is>
          <t>MOD-022, MOD-023, MOD-026</t>
        </is>
      </c>
      <c r="G19" s="5" t="inlineStr">
        <is>
          <t>Cross-module (written by one, read by another)</t>
        </is>
      </c>
    </row>
    <row r="20">
      <c r="A20" s="5" t="inlineStr">
        <is>
          <t>GLB-016</t>
        </is>
      </c>
      <c r="B20" s="5" t="inlineStr">
        <is>
          <t>window.__sanctuaryMoldTool</t>
        </is>
      </c>
      <c r="C20" s="5" t="n">
        <v>2</v>
      </c>
      <c r="D20" s="5" t="n">
        <v>2</v>
      </c>
      <c r="E20" s="5" t="inlineStr">
        <is>
          <t>MOD-016, MOD-040</t>
        </is>
      </c>
      <c r="F20" s="5" t="inlineStr">
        <is>
          <t>MOD-015, MOD-017</t>
        </is>
      </c>
      <c r="G20" s="5" t="inlineStr">
        <is>
          <t>Cross-module (written by one, read by another)</t>
        </is>
      </c>
    </row>
    <row r="21">
      <c r="A21" s="5" t="inlineStr">
        <is>
          <t>GLB-017</t>
        </is>
      </c>
      <c r="B21" s="5" t="inlineStr">
        <is>
          <t>window.__sanctuaryTipi1Anchor</t>
        </is>
      </c>
      <c r="C21" s="5" t="n">
        <v>1</v>
      </c>
      <c r="D21" s="5" t="n">
        <v>3</v>
      </c>
      <c r="E21" s="5" t="inlineStr">
        <is>
          <t>MOD-039</t>
        </is>
      </c>
      <c r="F21" s="5" t="inlineStr">
        <is>
          <t>MOD-012, MOD-013, MOD-038</t>
        </is>
      </c>
      <c r="G21" s="5" t="inlineStr">
        <is>
          <t>Cross-module (written by one, read by another)</t>
        </is>
      </c>
    </row>
    <row r="22">
      <c r="A22" s="5" t="inlineStr">
        <is>
          <t>GLB-018</t>
        </is>
      </c>
      <c r="B22" s="5" t="inlineStr">
        <is>
          <t>window.devicePixelRatio</t>
        </is>
      </c>
      <c r="C22" s="5" t="n">
        <v>0</v>
      </c>
      <c r="D22" s="5" t="n">
        <v>4</v>
      </c>
      <c r="E22" s="5" t="inlineStr"/>
      <c r="F22" s="5" t="inlineStr">
        <is>
          <t>MOD-002, MOD-059, MOD-060, MOD-095</t>
        </is>
      </c>
      <c r="G22" s="5" t="inlineStr">
        <is>
          <t>Read-only here (written elsewhere/HTML)</t>
        </is>
      </c>
    </row>
    <row r="23">
      <c r="A23" s="5" t="inlineStr">
        <is>
          <t>GLB-019</t>
        </is>
      </c>
      <c r="B23" s="5" t="inlineStr">
        <is>
          <t>window.AudioContext</t>
        </is>
      </c>
      <c r="C23" s="5" t="n">
        <v>0</v>
      </c>
      <c r="D23" s="5" t="n">
        <v>3</v>
      </c>
      <c r="E23" s="5" t="inlineStr"/>
      <c r="F23" s="5" t="inlineStr">
        <is>
          <t>MOD-010, MOD-021, MOD-023</t>
        </is>
      </c>
      <c r="G23" s="5" t="inlineStr">
        <is>
          <t>Read-only here (written elsewhere/HTML)</t>
        </is>
      </c>
    </row>
    <row r="24">
      <c r="A24" s="5" t="inlineStr">
        <is>
          <t>GLB-020</t>
        </is>
      </c>
      <c r="B24" s="5" t="inlineStr">
        <is>
          <t>window.WorldPhysics</t>
        </is>
      </c>
      <c r="C24" s="5" t="n">
        <v>1</v>
      </c>
      <c r="D24" s="5" t="n">
        <v>2</v>
      </c>
      <c r="E24" s="5" t="inlineStr">
        <is>
          <t>MOD-046</t>
        </is>
      </c>
      <c r="F24" s="5" t="inlineStr">
        <is>
          <t>MOD-089, MOD-090</t>
        </is>
      </c>
      <c r="G24" s="5" t="inlineStr">
        <is>
          <t>Cross-module (written by one, read by another)</t>
        </is>
      </c>
    </row>
    <row r="25">
      <c r="A25" s="5" t="inlineStr">
        <is>
          <t>GLB-021</t>
        </is>
      </c>
      <c r="B25" s="5" t="inlineStr">
        <is>
          <t>window.__sanctuaryDragonflies</t>
        </is>
      </c>
      <c r="C25" s="5" t="n">
        <v>1</v>
      </c>
      <c r="D25" s="5" t="n">
        <v>2</v>
      </c>
      <c r="E25" s="5" t="inlineStr">
        <is>
          <t>MOD-020</t>
        </is>
      </c>
      <c r="F25" s="5" t="inlineStr">
        <is>
          <t>MOD-021, MOD-026</t>
        </is>
      </c>
      <c r="G25" s="5" t="inlineStr">
        <is>
          <t>Cross-module (written by one, read by another)</t>
        </is>
      </c>
    </row>
    <row r="26">
      <c r="A26" s="5" t="inlineStr">
        <is>
          <t>GLB-022</t>
        </is>
      </c>
      <c r="B26" s="5" t="inlineStr">
        <is>
          <t>window.__sanctuaryFishTemplate</t>
        </is>
      </c>
      <c r="C26" s="5" t="n">
        <v>1</v>
      </c>
      <c r="D26" s="5" t="n">
        <v>2</v>
      </c>
      <c r="E26" s="5" t="inlineStr">
        <is>
          <t>MOD-021</t>
        </is>
      </c>
      <c r="F26" s="5" t="inlineStr">
        <is>
          <t>MOD-022, MOD-023</t>
        </is>
      </c>
      <c r="G26" s="5" t="inlineStr">
        <is>
          <t>Cross-module (written by one, read by another)</t>
        </is>
      </c>
    </row>
    <row r="27">
      <c r="A27" s="5" t="inlineStr">
        <is>
          <t>GLB-023</t>
        </is>
      </c>
      <c r="B27" s="5" t="inlineStr">
        <is>
          <t>window.__sanctuaryFishingActive</t>
        </is>
      </c>
      <c r="C27" s="5" t="n">
        <v>1</v>
      </c>
      <c r="D27" s="5" t="n">
        <v>2</v>
      </c>
      <c r="E27" s="5" t="inlineStr">
        <is>
          <t>MOD-023</t>
        </is>
      </c>
      <c r="F27" s="5" t="inlineStr">
        <is>
          <t>MOD-011, MOD-059</t>
        </is>
      </c>
      <c r="G27" s="5" t="inlineStr">
        <is>
          <t>Cross-module (written by one, read by another)</t>
        </is>
      </c>
    </row>
    <row r="28">
      <c r="A28" s="5" t="inlineStr">
        <is>
          <t>GLB-024</t>
        </is>
      </c>
      <c r="B28" s="5" t="inlineStr">
        <is>
          <t>window.__sanctuaryFishingSpot</t>
        </is>
      </c>
      <c r="C28" s="5" t="n">
        <v>1</v>
      </c>
      <c r="D28" s="5" t="n">
        <v>2</v>
      </c>
      <c r="E28" s="5" t="inlineStr">
        <is>
          <t>MOD-019</t>
        </is>
      </c>
      <c r="F28" s="5" t="inlineStr">
        <is>
          <t>MOD-014, MOD-023</t>
        </is>
      </c>
      <c r="G28" s="5" t="inlineStr">
        <is>
          <t>Cross-module (written by one, read by another)</t>
        </is>
      </c>
    </row>
    <row r="29">
      <c r="A29" s="5" t="inlineStr">
        <is>
          <t>GLB-025</t>
        </is>
      </c>
      <c r="B29" s="5" t="inlineStr">
        <is>
          <t>window.__sanctuaryTipi1Yaw</t>
        </is>
      </c>
      <c r="C29" s="5" t="n">
        <v>1</v>
      </c>
      <c r="D29" s="5" t="n">
        <v>2</v>
      </c>
      <c r="E29" s="5" t="inlineStr">
        <is>
          <t>MOD-039</t>
        </is>
      </c>
      <c r="F29" s="5" t="inlineStr">
        <is>
          <t>MOD-012, MOD-038</t>
        </is>
      </c>
      <c r="G29" s="5" t="inlineStr">
        <is>
          <t>Cross-module (written by one, read by another)</t>
        </is>
      </c>
    </row>
    <row r="30">
      <c r="A30" s="5" t="inlineStr">
        <is>
          <t>GLB-026</t>
        </is>
      </c>
      <c r="B30" s="5" t="inlineStr">
        <is>
          <t>window.__sanctuaryTipi2Anchor</t>
        </is>
      </c>
      <c r="C30" s="5" t="n">
        <v>1</v>
      </c>
      <c r="D30" s="5" t="n">
        <v>2</v>
      </c>
      <c r="E30" s="5" t="inlineStr">
        <is>
          <t>MOD-039</t>
        </is>
      </c>
      <c r="F30" s="5" t="inlineStr">
        <is>
          <t>MOD-012, MOD-038</t>
        </is>
      </c>
      <c r="G30" s="5" t="inlineStr">
        <is>
          <t>Cross-module (written by one, read by another)</t>
        </is>
      </c>
    </row>
    <row r="31">
      <c r="A31" s="5" t="inlineStr">
        <is>
          <t>GLB-027</t>
        </is>
      </c>
      <c r="B31" s="5" t="inlineStr">
        <is>
          <t>window.__sanctuaryTipi2Yaw</t>
        </is>
      </c>
      <c r="C31" s="5" t="n">
        <v>1</v>
      </c>
      <c r="D31" s="5" t="n">
        <v>2</v>
      </c>
      <c r="E31" s="5" t="inlineStr">
        <is>
          <t>MOD-039</t>
        </is>
      </c>
      <c r="F31" s="5" t="inlineStr">
        <is>
          <t>MOD-012, MOD-038</t>
        </is>
      </c>
      <c r="G31" s="5" t="inlineStr">
        <is>
          <t>Cross-module (written by one, read by another)</t>
        </is>
      </c>
    </row>
    <row r="32">
      <c r="A32" s="5" t="inlineStr">
        <is>
          <t>GLB-028</t>
        </is>
      </c>
      <c r="B32" s="5" t="inlineStr">
        <is>
          <t>window.__sanctuaryTipi4Anchor</t>
        </is>
      </c>
      <c r="C32" s="5" t="n">
        <v>1</v>
      </c>
      <c r="D32" s="5" t="n">
        <v>2</v>
      </c>
      <c r="E32" s="5" t="inlineStr">
        <is>
          <t>MOD-039</t>
        </is>
      </c>
      <c r="F32" s="5" t="inlineStr">
        <is>
          <t>MOD-012, MOD-038</t>
        </is>
      </c>
      <c r="G32" s="5" t="inlineStr">
        <is>
          <t>Cross-module (written by one, read by another)</t>
        </is>
      </c>
    </row>
    <row r="33">
      <c r="A33" s="5" t="inlineStr">
        <is>
          <t>GLB-029</t>
        </is>
      </c>
      <c r="B33" s="5" t="inlineStr">
        <is>
          <t>window.__sanctuaryTipi4Yaw</t>
        </is>
      </c>
      <c r="C33" s="5" t="n">
        <v>1</v>
      </c>
      <c r="D33" s="5" t="n">
        <v>2</v>
      </c>
      <c r="E33" s="5" t="inlineStr">
        <is>
          <t>MOD-039</t>
        </is>
      </c>
      <c r="F33" s="5" t="inlineStr">
        <is>
          <t>MOD-012, MOD-038</t>
        </is>
      </c>
      <c r="G33" s="5" t="inlineStr">
        <is>
          <t>Cross-module (written by one, read by another)</t>
        </is>
      </c>
    </row>
    <row r="34">
      <c r="A34" s="5" t="inlineStr">
        <is>
          <t>GLB-030</t>
        </is>
      </c>
      <c r="B34" s="5" t="inlineStr">
        <is>
          <t>window._v4CancelClickToMove</t>
        </is>
      </c>
      <c r="C34" s="5" t="n">
        <v>1</v>
      </c>
      <c r="D34" s="5" t="n">
        <v>2</v>
      </c>
      <c r="E34" s="5" t="inlineStr">
        <is>
          <t>MOD-015</t>
        </is>
      </c>
      <c r="F34" s="5" t="inlineStr">
        <is>
          <t>MOD-023, MOD-031</t>
        </is>
      </c>
      <c r="G34" s="5" t="inlineStr">
        <is>
          <t>Cross-module (written by one, read by another)</t>
        </is>
      </c>
    </row>
    <row r="35">
      <c r="A35" s="5" t="inlineStr">
        <is>
          <t>GLB-031</t>
        </is>
      </c>
      <c r="B35" s="5" t="inlineStr">
        <is>
          <t>window.webkitAudioContext</t>
        </is>
      </c>
      <c r="C35" s="5" t="n">
        <v>0</v>
      </c>
      <c r="D35" s="5" t="n">
        <v>3</v>
      </c>
      <c r="E35" s="5" t="inlineStr"/>
      <c r="F35" s="5" t="inlineStr">
        <is>
          <t>MOD-010, MOD-021, MOD-023</t>
        </is>
      </c>
      <c r="G35" s="5" t="inlineStr">
        <is>
          <t>Read-only here (written elsewhere/HTML)</t>
        </is>
      </c>
    </row>
    <row r="36">
      <c r="A36" s="5" t="inlineStr">
        <is>
          <t>GLB-032</t>
        </is>
      </c>
      <c r="B36" s="5" t="inlineStr">
        <is>
          <t>window.Orchestrator</t>
        </is>
      </c>
      <c r="C36" s="5" t="n">
        <v>1</v>
      </c>
      <c r="D36" s="5" t="n">
        <v>1</v>
      </c>
      <c r="E36" s="5" t="inlineStr">
        <is>
          <t>MOD-059</t>
        </is>
      </c>
      <c r="F36" s="5" t="inlineStr">
        <is>
          <t>MOD-049</t>
        </is>
      </c>
      <c r="G36" s="5" t="inlineStr">
        <is>
          <t>Cross-module (written by one, read by another)</t>
        </is>
      </c>
    </row>
    <row r="37">
      <c r="A37" s="5" t="inlineStr">
        <is>
          <t>GLB-033</t>
        </is>
      </c>
      <c r="B37" s="5" t="inlineStr">
        <is>
          <t>window.ThreeIconManager</t>
        </is>
      </c>
      <c r="C37" s="5" t="n">
        <v>0</v>
      </c>
      <c r="D37" s="5" t="n">
        <v>2</v>
      </c>
      <c r="E37" s="5" t="inlineStr"/>
      <c r="F37" s="5" t="inlineStr">
        <is>
          <t>MOD-049, MOD-102</t>
        </is>
      </c>
      <c r="G37" s="5" t="inlineStr">
        <is>
          <t>Read-only here (written elsewhere/HTML)</t>
        </is>
      </c>
    </row>
    <row r="38">
      <c r="A38" s="5" t="inlineStr">
        <is>
          <t>GLB-034</t>
        </is>
      </c>
      <c r="B38" s="5" t="inlineStr">
        <is>
          <t>window.__interestedFish</t>
        </is>
      </c>
      <c r="C38" s="5" t="n">
        <v>1</v>
      </c>
      <c r="D38" s="5" t="n">
        <v>1</v>
      </c>
      <c r="E38" s="5" t="inlineStr">
        <is>
          <t>MOD-023</t>
        </is>
      </c>
      <c r="F38" s="5" t="inlineStr">
        <is>
          <t>MOD-021</t>
        </is>
      </c>
      <c r="G38" s="5" t="inlineStr">
        <is>
          <t>Cross-module (written by one, read by another)</t>
        </is>
      </c>
    </row>
    <row r="39">
      <c r="A39" s="5" t="inlineStr">
        <is>
          <t>GLB-035</t>
        </is>
      </c>
      <c r="B39" s="5" t="inlineStr">
        <is>
          <t>window.__regenerateBraziers</t>
        </is>
      </c>
      <c r="C39" s="5" t="n">
        <v>1</v>
      </c>
      <c r="D39" s="5" t="n">
        <v>1</v>
      </c>
      <c r="E39" s="5" t="inlineStr">
        <is>
          <t>MOD-012</t>
        </is>
      </c>
      <c r="F39" s="5" t="inlineStr">
        <is>
          <t>MOD-040</t>
        </is>
      </c>
      <c r="G39" s="5" t="inlineStr">
        <is>
          <t>Cross-module (written by one, read by another)</t>
        </is>
      </c>
    </row>
    <row r="40">
      <c r="A40" s="5" t="inlineStr">
        <is>
          <t>GLB-036</t>
        </is>
      </c>
      <c r="B40" s="5" t="inlineStr">
        <is>
          <t>window.__regenerateDock</t>
        </is>
      </c>
      <c r="C40" s="5" t="n">
        <v>1</v>
      </c>
      <c r="D40" s="5" t="n">
        <v>1</v>
      </c>
      <c r="E40" s="5" t="inlineStr">
        <is>
          <t>MOD-019</t>
        </is>
      </c>
      <c r="F40" s="5" t="inlineStr">
        <is>
          <t>MOD-040</t>
        </is>
      </c>
      <c r="G40" s="5" t="inlineStr">
        <is>
          <t>Cross-module (written by one, read by another)</t>
        </is>
      </c>
    </row>
    <row r="41">
      <c r="A41" s="5" t="inlineStr">
        <is>
          <t>GLB-037</t>
        </is>
      </c>
      <c r="B41" s="5" t="inlineStr">
        <is>
          <t>window.__regenerateTipiNpcs</t>
        </is>
      </c>
      <c r="C41" s="5" t="n">
        <v>1</v>
      </c>
      <c r="D41" s="5" t="n">
        <v>1</v>
      </c>
      <c r="E41" s="5" t="inlineStr">
        <is>
          <t>MOD-038</t>
        </is>
      </c>
      <c r="F41" s="5" t="inlineStr">
        <is>
          <t>MOD-040</t>
        </is>
      </c>
      <c r="G41" s="5" t="inlineStr">
        <is>
          <t>Cross-module (written by one, read by another)</t>
        </is>
      </c>
    </row>
    <row r="42">
      <c r="A42" s="5" t="inlineStr">
        <is>
          <t>GLB-038</t>
        </is>
      </c>
      <c r="B42" s="5" t="inlineStr">
        <is>
          <t>window.__regenerateTipis</t>
        </is>
      </c>
      <c r="C42" s="5" t="n">
        <v>1</v>
      </c>
      <c r="D42" s="5" t="n">
        <v>1</v>
      </c>
      <c r="E42" s="5" t="inlineStr">
        <is>
          <t>MOD-039</t>
        </is>
      </c>
      <c r="F42" s="5" t="inlineStr">
        <is>
          <t>MOD-040</t>
        </is>
      </c>
      <c r="G42" s="5" t="inlineStr">
        <is>
          <t>Cross-module (written by one, read by another)</t>
        </is>
      </c>
    </row>
    <row r="43">
      <c r="A43" s="5" t="inlineStr">
        <is>
          <t>GLB-039</t>
        </is>
      </c>
      <c r="B43" s="5" t="inlineStr">
        <is>
          <t>window.__sanctuaryDockExtents</t>
        </is>
      </c>
      <c r="C43" s="5" t="n">
        <v>1</v>
      </c>
      <c r="D43" s="5" t="n">
        <v>1</v>
      </c>
      <c r="E43" s="5" t="inlineStr">
        <is>
          <t>MOD-019</t>
        </is>
      </c>
      <c r="F43" s="5" t="inlineStr">
        <is>
          <t>MOD-015</t>
        </is>
      </c>
      <c r="G43" s="5" t="inlineStr">
        <is>
          <t>Cross-module (written by one, read by another)</t>
        </is>
      </c>
    </row>
    <row r="44">
      <c r="A44" s="5" t="inlineStr">
        <is>
          <t>GLB-040</t>
        </is>
      </c>
      <c r="B44" s="5" t="inlineStr">
        <is>
          <t>window.__sanctuaryFishCount</t>
        </is>
      </c>
      <c r="C44" s="5" t="n">
        <v>2</v>
      </c>
      <c r="D44" s="5" t="n">
        <v>0</v>
      </c>
      <c r="E44" s="5" t="inlineStr">
        <is>
          <t>MOD-021, MOD-023</t>
        </is>
      </c>
      <c r="F44" s="5" t="inlineStr"/>
      <c r="G44" s="5" t="inlineStr">
        <is>
          <t>Write-only</t>
        </is>
      </c>
    </row>
    <row r="45">
      <c r="A45" s="5" t="inlineStr">
        <is>
          <t>GLB-041</t>
        </is>
      </c>
      <c r="B45" s="5" t="inlineStr">
        <is>
          <t>window.__sanctuaryFishingSpawnRipple</t>
        </is>
      </c>
      <c r="C45" s="5" t="n">
        <v>1</v>
      </c>
      <c r="D45" s="5" t="n">
        <v>1</v>
      </c>
      <c r="E45" s="5" t="inlineStr">
        <is>
          <t>MOD-023</t>
        </is>
      </c>
      <c r="F45" s="5" t="inlineStr">
        <is>
          <t>MOD-021</t>
        </is>
      </c>
      <c r="G45" s="5" t="inlineStr">
        <is>
          <t>Cross-module (written by one, read by another)</t>
        </is>
      </c>
    </row>
    <row r="46">
      <c r="A46" s="5" t="inlineStr">
        <is>
          <t>GLB-042</t>
        </is>
      </c>
      <c r="B46" s="5" t="inlineStr">
        <is>
          <t>window.__sanctuaryFrogOnLily</t>
        </is>
      </c>
      <c r="C46" s="5" t="n">
        <v>2</v>
      </c>
      <c r="D46" s="5" t="n">
        <v>0</v>
      </c>
      <c r="E46" s="5" t="inlineStr">
        <is>
          <t>MOD-021, MOD-026</t>
        </is>
      </c>
      <c r="F46" s="5" t="inlineStr"/>
      <c r="G46" s="5" t="inlineStr">
        <is>
          <t>Write-only</t>
        </is>
      </c>
    </row>
    <row r="47">
      <c r="A47" s="5" t="inlineStr">
        <is>
          <t>GLB-043</t>
        </is>
      </c>
      <c r="B47" s="5" t="inlineStr">
        <is>
          <t>window.__sanctuaryFrogs</t>
        </is>
      </c>
      <c r="C47" s="5" t="n">
        <v>1</v>
      </c>
      <c r="D47" s="5" t="n">
        <v>1</v>
      </c>
      <c r="E47" s="5" t="inlineStr">
        <is>
          <t>MOD-026</t>
        </is>
      </c>
      <c r="F47" s="5" t="inlineStr">
        <is>
          <t>MOD-021</t>
        </is>
      </c>
      <c r="G47" s="5" t="inlineStr">
        <is>
          <t>Cross-module (written by one, read by another)</t>
        </is>
      </c>
    </row>
    <row r="48">
      <c r="A48" s="5" t="inlineStr">
        <is>
          <t>GLB-044</t>
        </is>
      </c>
      <c r="B48" s="5" t="inlineStr">
        <is>
          <t>window.__sanctuaryLilyPads</t>
        </is>
      </c>
      <c r="C48" s="5" t="n">
        <v>1</v>
      </c>
      <c r="D48" s="5" t="n">
        <v>1</v>
      </c>
      <c r="E48" s="5" t="inlineStr">
        <is>
          <t>MOD-035</t>
        </is>
      </c>
      <c r="F48" s="5" t="inlineStr">
        <is>
          <t>MOD-026</t>
        </is>
      </c>
      <c r="G48" s="5" t="inlineStr">
        <is>
          <t>Cross-module (written by one, read by another)</t>
        </is>
      </c>
    </row>
    <row r="49">
      <c r="A49" s="5" t="inlineStr">
        <is>
          <t>GLB-045</t>
        </is>
      </c>
      <c r="B49" s="5" t="inlineStr">
        <is>
          <t>window.__sanctuaryMuted</t>
        </is>
      </c>
      <c r="C49" s="5" t="n">
        <v>1</v>
      </c>
      <c r="D49" s="5" t="n">
        <v>1</v>
      </c>
      <c r="E49" s="5" t="inlineStr">
        <is>
          <t>MOD-010</t>
        </is>
      </c>
      <c r="F49" s="5" t="inlineStr">
        <is>
          <t>MOD-043</t>
        </is>
      </c>
      <c r="G49" s="5" t="inlineStr">
        <is>
          <t>Cross-module (written by one, read by another)</t>
        </is>
      </c>
    </row>
    <row r="50">
      <c r="A50" s="5" t="inlineStr">
        <is>
          <t>GLB-046</t>
        </is>
      </c>
      <c r="B50" s="5" t="inlineStr">
        <is>
          <t>window.__sanctuarySpawnBabyFish</t>
        </is>
      </c>
      <c r="C50" s="5" t="n">
        <v>1</v>
      </c>
      <c r="D50" s="5" t="n">
        <v>1</v>
      </c>
      <c r="E50" s="5" t="inlineStr">
        <is>
          <t>MOD-021</t>
        </is>
      </c>
      <c r="F50" s="5" t="inlineStr">
        <is>
          <t>MOD-023</t>
        </is>
      </c>
      <c r="G50" s="5" t="inlineStr">
        <is>
          <t>Cross-module (written by one, read by another)</t>
        </is>
      </c>
    </row>
    <row r="51">
      <c r="A51" s="5" t="inlineStr">
        <is>
          <t>GLB-047</t>
        </is>
      </c>
      <c r="B51" s="5" t="inlineStr">
        <is>
          <t>window.__sanctuaryTipi1PlatMesh</t>
        </is>
      </c>
      <c r="C51" s="5" t="n">
        <v>1</v>
      </c>
      <c r="D51" s="5" t="n">
        <v>1</v>
      </c>
      <c r="E51" s="5" t="inlineStr">
        <is>
          <t>MOD-039</t>
        </is>
      </c>
      <c r="F51" s="5" t="inlineStr">
        <is>
          <t>MOD-038</t>
        </is>
      </c>
      <c r="G51" s="5" t="inlineStr">
        <is>
          <t>Cross-module (written by one, read by another)</t>
        </is>
      </c>
    </row>
    <row r="52">
      <c r="A52" s="5" t="inlineStr">
        <is>
          <t>GLB-048</t>
        </is>
      </c>
      <c r="B52" s="5" t="inlineStr">
        <is>
          <t>window.__sanctuaryTipi2PlatMesh</t>
        </is>
      </c>
      <c r="C52" s="5" t="n">
        <v>1</v>
      </c>
      <c r="D52" s="5" t="n">
        <v>1</v>
      </c>
      <c r="E52" s="5" t="inlineStr">
        <is>
          <t>MOD-039</t>
        </is>
      </c>
      <c r="F52" s="5" t="inlineStr">
        <is>
          <t>MOD-038</t>
        </is>
      </c>
      <c r="G52" s="5" t="inlineStr">
        <is>
          <t>Cross-module (written by one, read by another)</t>
        </is>
      </c>
    </row>
    <row r="53">
      <c r="A53" s="5" t="inlineStr">
        <is>
          <t>GLB-049</t>
        </is>
      </c>
      <c r="B53" s="5" t="inlineStr">
        <is>
          <t>window.__sanctuaryTipi3Anchor</t>
        </is>
      </c>
      <c r="C53" s="5" t="n">
        <v>1</v>
      </c>
      <c r="D53" s="5" t="n">
        <v>1</v>
      </c>
      <c r="E53" s="5" t="inlineStr">
        <is>
          <t>MOD-039</t>
        </is>
      </c>
      <c r="F53" s="5" t="inlineStr">
        <is>
          <t>MOD-012</t>
        </is>
      </c>
      <c r="G53" s="5" t="inlineStr">
        <is>
          <t>Cross-module (written by one, read by another)</t>
        </is>
      </c>
    </row>
    <row r="54">
      <c r="A54" s="5" t="inlineStr">
        <is>
          <t>GLB-050</t>
        </is>
      </c>
      <c r="B54" s="5" t="inlineStr">
        <is>
          <t>window.__sanctuaryTipi3Yaw</t>
        </is>
      </c>
      <c r="C54" s="5" t="n">
        <v>1</v>
      </c>
      <c r="D54" s="5" t="n">
        <v>1</v>
      </c>
      <c r="E54" s="5" t="inlineStr">
        <is>
          <t>MOD-039</t>
        </is>
      </c>
      <c r="F54" s="5" t="inlineStr">
        <is>
          <t>MOD-012</t>
        </is>
      </c>
      <c r="G54" s="5" t="inlineStr">
        <is>
          <t>Cross-module (written by one, read by another)</t>
        </is>
      </c>
    </row>
    <row r="55">
      <c r="A55" s="5" t="inlineStr">
        <is>
          <t>GLB-051</t>
        </is>
      </c>
      <c r="B55" s="5" t="inlineStr">
        <is>
          <t>window.__sanctuaryTipi4PlatMesh</t>
        </is>
      </c>
      <c r="C55" s="5" t="n">
        <v>1</v>
      </c>
      <c r="D55" s="5" t="n">
        <v>1</v>
      </c>
      <c r="E55" s="5" t="inlineStr">
        <is>
          <t>MOD-039</t>
        </is>
      </c>
      <c r="F55" s="5" t="inlineStr">
        <is>
          <t>MOD-038</t>
        </is>
      </c>
      <c r="G55" s="5" t="inlineStr">
        <is>
          <t>Cross-module (written by one, read by another)</t>
        </is>
      </c>
    </row>
    <row r="56">
      <c r="A56" s="5" t="inlineStr">
        <is>
          <t>GLB-052</t>
        </is>
      </c>
      <c r="B56" s="5" t="inlineStr">
        <is>
          <t>window.__sanctuaryTopDownHeight</t>
        </is>
      </c>
      <c r="C56" s="5" t="n">
        <v>1</v>
      </c>
      <c r="D56" s="5" t="n">
        <v>1</v>
      </c>
      <c r="E56" s="5" t="inlineStr">
        <is>
          <t>MOD-048</t>
        </is>
      </c>
      <c r="F56" s="5" t="inlineStr">
        <is>
          <t>MOD-016</t>
        </is>
      </c>
      <c r="G56" s="5" t="inlineStr">
        <is>
          <t>Cross-module (written by one, read by another)</t>
        </is>
      </c>
    </row>
    <row r="57">
      <c r="A57" s="5" t="inlineStr">
        <is>
          <t>GLB-053</t>
        </is>
      </c>
      <c r="B57" s="5" t="inlineStr">
        <is>
          <t>window.__sanctuaryZoomFactor</t>
        </is>
      </c>
      <c r="C57" s="5" t="n">
        <v>1</v>
      </c>
      <c r="D57" s="5" t="n">
        <v>1</v>
      </c>
      <c r="E57" s="5" t="inlineStr">
        <is>
          <t>MOD-048</t>
        </is>
      </c>
      <c r="F57" s="5" t="inlineStr">
        <is>
          <t>MOD-031</t>
        </is>
      </c>
      <c r="G57" s="5" t="inlineStr">
        <is>
          <t>Cross-module (written by one, read by another)</t>
        </is>
      </c>
    </row>
    <row r="58">
      <c r="A58" s="5" t="inlineStr">
        <is>
          <t>GLB-054</t>
        </is>
      </c>
      <c r="B58" s="5" t="inlineStr">
        <is>
          <t>window._v2InputSuppressed</t>
        </is>
      </c>
      <c r="C58" s="5" t="n">
        <v>1</v>
      </c>
      <c r="D58" s="5" t="n">
        <v>1</v>
      </c>
      <c r="E58" s="5" t="inlineStr">
        <is>
          <t>MOD-023</t>
        </is>
      </c>
      <c r="F58" s="5" t="inlineStr">
        <is>
          <t>MOD-015</t>
        </is>
      </c>
      <c r="G58" s="5" t="inlineStr">
        <is>
          <t>Cross-module (written by one, read by another)</t>
        </is>
      </c>
    </row>
    <row r="59">
      <c r="A59" s="5" t="inlineStr">
        <is>
          <t>GLB-055</t>
        </is>
      </c>
      <c r="B59" s="5" t="inlineStr">
        <is>
          <t>window._v4InputSuppressed</t>
        </is>
      </c>
      <c r="C59" s="5" t="n">
        <v>1</v>
      </c>
      <c r="D59" s="5" t="n">
        <v>1</v>
      </c>
      <c r="E59" s="5" t="inlineStr">
        <is>
          <t>MOD-023</t>
        </is>
      </c>
      <c r="F59" s="5" t="inlineStr">
        <is>
          <t>MOD-031</t>
        </is>
      </c>
      <c r="G59" s="5" t="inlineStr">
        <is>
          <t>Cross-module (written by one, read by another)</t>
        </is>
      </c>
    </row>
    <row r="60">
      <c r="A60" s="5" t="inlineStr">
        <is>
          <t>GLB-056</t>
        </is>
      </c>
      <c r="B60" s="5" t="inlineStr">
        <is>
          <t>window.clearInterval</t>
        </is>
      </c>
      <c r="C60" s="5" t="n">
        <v>0</v>
      </c>
      <c r="D60" s="5" t="n">
        <v>2</v>
      </c>
      <c r="E60" s="5" t="inlineStr"/>
      <c r="F60" s="5" t="inlineStr">
        <is>
          <t>MOD-030, MOD-060</t>
        </is>
      </c>
      <c r="G60" s="5" t="inlineStr">
        <is>
          <t>Read-only here (written elsewhere/HTML)</t>
        </is>
      </c>
    </row>
    <row r="61">
      <c r="A61" s="5" t="inlineStr">
        <is>
          <t>GLB-057</t>
        </is>
      </c>
      <c r="B61" s="5" t="inlineStr">
        <is>
          <t>window.innerHeight</t>
        </is>
      </c>
      <c r="C61" s="5" t="n">
        <v>0</v>
      </c>
      <c r="D61" s="5" t="n">
        <v>2</v>
      </c>
      <c r="E61" s="5" t="inlineStr"/>
      <c r="F61" s="5" t="inlineStr">
        <is>
          <t>MOD-002, MOD-059</t>
        </is>
      </c>
      <c r="G61" s="5" t="inlineStr">
        <is>
          <t>Read-only here (written elsewhere/HTML)</t>
        </is>
      </c>
    </row>
    <row r="62">
      <c r="A62" s="5" t="inlineStr">
        <is>
          <t>GLB-058</t>
        </is>
      </c>
      <c r="B62" s="5" t="inlineStr">
        <is>
          <t>window.innerWidth</t>
        </is>
      </c>
      <c r="C62" s="5" t="n">
        <v>0</v>
      </c>
      <c r="D62" s="5" t="n">
        <v>2</v>
      </c>
      <c r="E62" s="5" t="inlineStr"/>
      <c r="F62" s="5" t="inlineStr">
        <is>
          <t>MOD-002, MOD-059</t>
        </is>
      </c>
      <c r="G62" s="5" t="inlineStr">
        <is>
          <t>Read-only here (written elsewhere/HTML)</t>
        </is>
      </c>
    </row>
    <row r="63">
      <c r="A63" s="5" t="inlineStr">
        <is>
          <t>GLB-059</t>
        </is>
      </c>
      <c r="B63" s="5" t="inlineStr">
        <is>
          <t>window.location</t>
        </is>
      </c>
      <c r="C63" s="5" t="n">
        <v>0</v>
      </c>
      <c r="D63" s="5" t="n">
        <v>2</v>
      </c>
      <c r="E63" s="5" t="inlineStr"/>
      <c r="F63" s="5" t="inlineStr">
        <is>
          <t>MOD-011, MOD-057</t>
        </is>
      </c>
      <c r="G63" s="5" t="inlineStr">
        <is>
          <t>Read-only here (written elsewhere/HTML)</t>
        </is>
      </c>
    </row>
    <row r="64">
      <c r="A64" s="5" t="inlineStr">
        <is>
          <t>GLB-060</t>
        </is>
      </c>
      <c r="B64" s="5" t="inlineStr">
        <is>
          <t>window.postMessage</t>
        </is>
      </c>
      <c r="C64" s="5" t="n">
        <v>0</v>
      </c>
      <c r="D64" s="5" t="n">
        <v>2</v>
      </c>
      <c r="E64" s="5" t="inlineStr"/>
      <c r="F64" s="5" t="inlineStr">
        <is>
          <t>MOD-064, MOD-102</t>
        </is>
      </c>
      <c r="G64" s="5" t="inlineStr">
        <is>
          <t>Read-only here (written elsewhere/HTML)</t>
        </is>
      </c>
    </row>
    <row r="65">
      <c r="A65" s="5" t="inlineStr">
        <is>
          <t>GLB-061</t>
        </is>
      </c>
      <c r="B65" s="5" t="inlineStr">
        <is>
          <t>window.sanctuaryGrant</t>
        </is>
      </c>
      <c r="C65" s="5" t="n">
        <v>1</v>
      </c>
      <c r="D65" s="5" t="n">
        <v>1</v>
      </c>
      <c r="E65" s="5" t="inlineStr">
        <is>
          <t>MOD-029</t>
        </is>
      </c>
      <c r="F65" s="5" t="inlineStr">
        <is>
          <t>MOD-023</t>
        </is>
      </c>
      <c r="G65" s="5" t="inlineStr">
        <is>
          <t>Cross-module (written by one, read by another)</t>
        </is>
      </c>
    </row>
    <row r="66">
      <c r="A66" s="5" t="inlineStr">
        <is>
          <t>GLB-062</t>
        </is>
      </c>
      <c r="B66" s="5" t="inlineStr">
        <is>
          <t>window.setInterval</t>
        </is>
      </c>
      <c r="C66" s="5" t="n">
        <v>0</v>
      </c>
      <c r="D66" s="5" t="n">
        <v>2</v>
      </c>
      <c r="E66" s="5" t="inlineStr"/>
      <c r="F66" s="5" t="inlineStr">
        <is>
          <t>MOD-030, MOD-060</t>
        </is>
      </c>
      <c r="G66" s="5" t="inlineStr">
        <is>
          <t>Read-only here (written elsewhere/HTML)</t>
        </is>
      </c>
    </row>
    <row r="67">
      <c r="A67" s="5" t="inlineStr">
        <is>
          <t>GLB-063</t>
        </is>
      </c>
      <c r="B67" s="5" t="inlineStr">
        <is>
          <t>window.SanctuaryBuildings</t>
        </is>
      </c>
      <c r="C67" s="5" t="n">
        <v>0</v>
      </c>
      <c r="D67" s="5" t="n">
        <v>1</v>
      </c>
      <c r="E67" s="5" t="inlineStr"/>
      <c r="F67" s="5" t="inlineStr">
        <is>
          <t>MOD-051</t>
        </is>
      </c>
      <c r="G67" s="5" t="inlineStr">
        <is>
          <t>Read-only here (written elsewhere/HTML)</t>
        </is>
      </c>
    </row>
    <row r="68">
      <c r="A68" s="5" t="inlineStr">
        <is>
          <t>GLB-064</t>
        </is>
      </c>
      <c r="B68" s="5" t="inlineStr">
        <is>
          <t>window.SanctuaryGround</t>
        </is>
      </c>
      <c r="C68" s="5" t="n">
        <v>0</v>
      </c>
      <c r="D68" s="5" t="n">
        <v>1</v>
      </c>
      <c r="E68" s="5" t="inlineStr"/>
      <c r="F68" s="5" t="inlineStr">
        <is>
          <t>MOD-040</t>
        </is>
      </c>
      <c r="G68" s="5" t="inlineStr">
        <is>
          <t>Read-only here (written elsewhere/HTML)</t>
        </is>
      </c>
    </row>
    <row r="69">
      <c r="A69" s="5" t="inlineStr">
        <is>
          <t>GLB-065</t>
        </is>
      </c>
      <c r="B69" s="5" t="inlineStr">
        <is>
          <t>window.__isRenderingPip</t>
        </is>
      </c>
      <c r="C69" s="5" t="n">
        <v>1</v>
      </c>
      <c r="D69" s="5" t="n">
        <v>0</v>
      </c>
      <c r="E69" s="5" t="inlineStr">
        <is>
          <t>MOD-059</t>
        </is>
      </c>
      <c r="F69" s="5" t="inlineStr"/>
      <c r="G69" s="5" t="inlineStr">
        <is>
          <t>Write-only</t>
        </is>
      </c>
    </row>
    <row r="70">
      <c r="A70" s="5" t="inlineStr">
        <is>
          <t>GLB-066</t>
        </is>
      </c>
      <c r="B70" s="5" t="inlineStr">
        <is>
          <t>window.__mobileTexCap</t>
        </is>
      </c>
      <c r="C70" s="5" t="n">
        <v>1</v>
      </c>
      <c r="D70" s="5" t="n">
        <v>0</v>
      </c>
      <c r="E70" s="5" t="inlineStr">
        <is>
          <t>MOD-059</t>
        </is>
      </c>
      <c r="F70" s="5" t="inlineStr"/>
      <c r="G70" s="5" t="inlineStr">
        <is>
          <t>Write-only</t>
        </is>
      </c>
    </row>
    <row r="71">
      <c r="A71" s="5" t="inlineStr">
        <is>
          <t>GLB-067</t>
        </is>
      </c>
      <c r="B71" s="5" t="inlineStr">
        <is>
          <t>window.__regeneratePoolObjects</t>
        </is>
      </c>
      <c r="C71" s="5" t="n">
        <v>0</v>
      </c>
      <c r="D71" s="5" t="n">
        <v>1</v>
      </c>
      <c r="E71" s="5" t="inlineStr"/>
      <c r="F71" s="5" t="inlineStr">
        <is>
          <t>MOD-040</t>
        </is>
      </c>
      <c r="G71" s="5" t="inlineStr">
        <is>
          <t>Read-only here (written elsewhere/HTML)</t>
        </is>
      </c>
    </row>
    <row r="72">
      <c r="A72" s="5" t="inlineStr">
        <is>
          <t>GLB-068</t>
        </is>
      </c>
      <c r="B72" s="5" t="inlineStr">
        <is>
          <t>window.__regenerateTerrain</t>
        </is>
      </c>
      <c r="C72" s="5" t="n">
        <v>0</v>
      </c>
      <c r="D72" s="5" t="n">
        <v>1</v>
      </c>
      <c r="E72" s="5" t="inlineStr"/>
      <c r="F72" s="5" t="inlineStr">
        <is>
          <t>MOD-040</t>
        </is>
      </c>
      <c r="G72" s="5" t="inlineStr">
        <is>
          <t>Read-only here (written elsewhere/HTML)</t>
        </is>
      </c>
    </row>
    <row r="73">
      <c r="A73" s="5" t="inlineStr">
        <is>
          <t>GLB-069</t>
        </is>
      </c>
      <c r="B73" s="5" t="inlineStr">
        <is>
          <t>window.__sanctuaryDockRoot</t>
        </is>
      </c>
      <c r="C73" s="5" t="n">
        <v>0</v>
      </c>
      <c r="D73" s="5" t="n">
        <v>1</v>
      </c>
      <c r="E73" s="5" t="inlineStr"/>
      <c r="F73" s="5" t="inlineStr">
        <is>
          <t>MOD-023</t>
        </is>
      </c>
      <c r="G73" s="5" t="inlineStr">
        <is>
          <t>Read-only here (written elsewhere/HTML)</t>
        </is>
      </c>
    </row>
    <row r="74">
      <c r="A74" s="5" t="inlineStr">
        <is>
          <t>GLB-070</t>
        </is>
      </c>
      <c r="B74" s="5" t="inlineStr">
        <is>
          <t>window.__sanctuaryFloraTimeUniform</t>
        </is>
      </c>
      <c r="C74" s="5" t="n">
        <v>0</v>
      </c>
      <c r="D74" s="5" t="n">
        <v>1</v>
      </c>
      <c r="E74" s="5" t="inlineStr"/>
      <c r="F74" s="5" t="inlineStr">
        <is>
          <t>MOD-059</t>
        </is>
      </c>
      <c r="G74" s="5" t="inlineStr">
        <is>
          <t>Read-only here (written elsewhere/HTML)</t>
        </is>
      </c>
    </row>
    <row r="75">
      <c r="A75" s="5" t="inlineStr">
        <is>
          <t>GLB-071</t>
        </is>
      </c>
      <c r="B75" s="5" t="inlineStr">
        <is>
          <t>window.__sanctuaryFrogsRegenerate</t>
        </is>
      </c>
      <c r="C75" s="5" t="n">
        <v>1</v>
      </c>
      <c r="D75" s="5" t="n">
        <v>0</v>
      </c>
      <c r="E75" s="5" t="inlineStr">
        <is>
          <t>MOD-026</t>
        </is>
      </c>
      <c r="F75" s="5" t="inlineStr"/>
      <c r="G75" s="5" t="inlineStr">
        <is>
          <t>Write-only</t>
        </is>
      </c>
    </row>
    <row r="76">
      <c r="A76" s="5" t="inlineStr">
        <is>
          <t>GLB-072</t>
        </is>
      </c>
      <c r="B76" s="5" t="inlineStr">
        <is>
          <t>window.__sanctuaryHasFishCaught</t>
        </is>
      </c>
      <c r="C76" s="5" t="n">
        <v>1</v>
      </c>
      <c r="D76" s="5" t="n">
        <v>0</v>
      </c>
      <c r="E76" s="5" t="inlineStr">
        <is>
          <t>MOD-023</t>
        </is>
      </c>
      <c r="F76" s="5" t="inlineStr"/>
      <c r="G76" s="5" t="inlineStr">
        <is>
          <t>Write-only</t>
        </is>
      </c>
    </row>
    <row r="77">
      <c r="A77" s="5" t="inlineStr">
        <is>
          <t>GLB-073</t>
        </is>
      </c>
      <c r="B77" s="5" t="inlineStr">
        <is>
          <t>window.__sanctuaryJoystickInput</t>
        </is>
      </c>
      <c r="C77" s="5" t="n">
        <v>0</v>
      </c>
      <c r="D77" s="5" t="n">
        <v>1</v>
      </c>
      <c r="E77" s="5" t="inlineStr"/>
      <c r="F77" s="5" t="inlineStr">
        <is>
          <t>MOD-031</t>
        </is>
      </c>
      <c r="G77" s="5" t="inlineStr">
        <is>
          <t>Read-only here (written elsewhere/HTML)</t>
        </is>
      </c>
    </row>
    <row r="78">
      <c r="A78" s="5" t="inlineStr">
        <is>
          <t>GLB-074</t>
        </is>
      </c>
      <c r="B78" s="5" t="inlineStr">
        <is>
          <t>window.__sanctuaryKeyboardLook</t>
        </is>
      </c>
      <c r="C78" s="5" t="n">
        <v>0</v>
      </c>
      <c r="D78" s="5" t="n">
        <v>1</v>
      </c>
      <c r="E78" s="5" t="inlineStr"/>
      <c r="F78" s="5" t="inlineStr">
        <is>
          <t>MOD-023</t>
        </is>
      </c>
      <c r="G78" s="5" t="inlineStr">
        <is>
          <t>Read-only here (written elsewhere/HTML)</t>
        </is>
      </c>
    </row>
    <row r="79">
      <c r="A79" s="5" t="inlineStr">
        <is>
          <t>GLB-075</t>
        </is>
      </c>
      <c r="B79" s="5" t="inlineStr">
        <is>
          <t>window.__sanctuaryTipi1DeckTopY</t>
        </is>
      </c>
      <c r="C79" s="5" t="n">
        <v>1</v>
      </c>
      <c r="D79" s="5" t="n">
        <v>0</v>
      </c>
      <c r="E79" s="5" t="inlineStr">
        <is>
          <t>MOD-039</t>
        </is>
      </c>
      <c r="F79" s="5" t="inlineStr"/>
      <c r="G79" s="5" t="inlineStr">
        <is>
          <t>Write-only</t>
        </is>
      </c>
    </row>
    <row r="80">
      <c r="A80" s="5" t="inlineStr">
        <is>
          <t>GLB-076</t>
        </is>
      </c>
      <c r="B80" s="5" t="inlineStr">
        <is>
          <t>window.__sanctuaryTipi2DeckTopY</t>
        </is>
      </c>
      <c r="C80" s="5" t="n">
        <v>1</v>
      </c>
      <c r="D80" s="5" t="n">
        <v>0</v>
      </c>
      <c r="E80" s="5" t="inlineStr">
        <is>
          <t>MOD-039</t>
        </is>
      </c>
      <c r="F80" s="5" t="inlineStr"/>
      <c r="G80" s="5" t="inlineStr">
        <is>
          <t>Write-only</t>
        </is>
      </c>
    </row>
    <row r="81">
      <c r="A81" s="5" t="inlineStr">
        <is>
          <t>GLB-077</t>
        </is>
      </c>
      <c r="B81" s="5" t="inlineStr">
        <is>
          <t>window.__sanctuaryTipi3DeckTopY</t>
        </is>
      </c>
      <c r="C81" s="5" t="n">
        <v>1</v>
      </c>
      <c r="D81" s="5" t="n">
        <v>0</v>
      </c>
      <c r="E81" s="5" t="inlineStr">
        <is>
          <t>MOD-039</t>
        </is>
      </c>
      <c r="F81" s="5" t="inlineStr"/>
      <c r="G81" s="5" t="inlineStr">
        <is>
          <t>Write-only</t>
        </is>
      </c>
    </row>
    <row r="82">
      <c r="A82" s="5" t="inlineStr">
        <is>
          <t>GLB-078</t>
        </is>
      </c>
      <c r="B82" s="5" t="inlineStr">
        <is>
          <t>window.__sanctuaryTipi3PlatMesh</t>
        </is>
      </c>
      <c r="C82" s="5" t="n">
        <v>1</v>
      </c>
      <c r="D82" s="5" t="n">
        <v>0</v>
      </c>
      <c r="E82" s="5" t="inlineStr">
        <is>
          <t>MOD-039</t>
        </is>
      </c>
      <c r="F82" s="5" t="inlineStr"/>
      <c r="G82" s="5" t="inlineStr">
        <is>
          <t>Write-only</t>
        </is>
      </c>
    </row>
    <row r="83">
      <c r="A83" s="5" t="inlineStr">
        <is>
          <t>GLB-079</t>
        </is>
      </c>
      <c r="B83" s="5" t="inlineStr">
        <is>
          <t>window.__sanctuaryTipi4DeckTopY</t>
        </is>
      </c>
      <c r="C83" s="5" t="n">
        <v>1</v>
      </c>
      <c r="D83" s="5" t="n">
        <v>0</v>
      </c>
      <c r="E83" s="5" t="inlineStr">
        <is>
          <t>MOD-039</t>
        </is>
      </c>
      <c r="F83" s="5" t="inlineStr"/>
      <c r="G83" s="5" t="inlineStr">
        <is>
          <t>Write-only</t>
        </is>
      </c>
    </row>
    <row r="84">
      <c r="A84" s="5" t="inlineStr">
        <is>
          <t>GLB-080</t>
        </is>
      </c>
      <c r="B84" s="5" t="inlineStr">
        <is>
          <t>window.__sanctuaryVillagePad</t>
        </is>
      </c>
      <c r="C84" s="5" t="n">
        <v>1</v>
      </c>
      <c r="D84" s="5" t="n">
        <v>0</v>
      </c>
      <c r="E84" s="5" t="inlineStr">
        <is>
          <t>MOD-042</t>
        </is>
      </c>
      <c r="F84" s="5" t="inlineStr"/>
      <c r="G84" s="5" t="inlineStr">
        <is>
          <t>Write-only</t>
        </is>
      </c>
    </row>
    <row r="85">
      <c r="A85" s="5" t="inlineStr">
        <is>
          <t>GLB-081</t>
        </is>
      </c>
      <c r="B85" s="5" t="inlineStr">
        <is>
          <t>window._detectedHz</t>
        </is>
      </c>
      <c r="C85" s="5" t="n">
        <v>0</v>
      </c>
      <c r="D85" s="5" t="n">
        <v>1</v>
      </c>
      <c r="E85" s="5" t="inlineStr"/>
      <c r="F85" s="5" t="inlineStr">
        <is>
          <t>MOD-060</t>
        </is>
      </c>
      <c r="G85" s="5" t="inlineStr">
        <is>
          <t>Read-only here (written elsewhere/HTML)</t>
        </is>
      </c>
    </row>
    <row r="86">
      <c r="A86" s="5" t="inlineStr">
        <is>
          <t>GLB-082</t>
        </is>
      </c>
      <c r="B86" s="5" t="inlineStr">
        <is>
          <t>window._globalTime</t>
        </is>
      </c>
      <c r="C86" s="5" t="n">
        <v>0</v>
      </c>
      <c r="D86" s="5" t="n">
        <v>1</v>
      </c>
      <c r="E86" s="5" t="inlineStr"/>
      <c r="F86" s="5" t="inlineStr">
        <is>
          <t>MOD-059</t>
        </is>
      </c>
      <c r="G86" s="5" t="inlineStr">
        <is>
          <t>Read-only here (written elsewhere/HTML)</t>
        </is>
      </c>
    </row>
    <row r="87">
      <c r="A87" s="5" t="inlineStr">
        <is>
          <t>GLB-083</t>
        </is>
      </c>
      <c r="B87" s="5" t="inlineStr">
        <is>
          <t>window._gpuSlideStarted</t>
        </is>
      </c>
      <c r="C87" s="5" t="n">
        <v>0</v>
      </c>
      <c r="D87" s="5" t="n">
        <v>1</v>
      </c>
      <c r="E87" s="5" t="inlineStr"/>
      <c r="F87" s="5" t="inlineStr">
        <is>
          <t>MOD-102</t>
        </is>
      </c>
      <c r="G87" s="5" t="inlineStr">
        <is>
          <t>Read-only here (written elsewhere/HTML)</t>
        </is>
      </c>
    </row>
    <row r="88">
      <c r="A88" s="5" t="inlineStr">
        <is>
          <t>GLB-084</t>
        </is>
      </c>
      <c r="B88" s="5" t="inlineStr">
        <is>
          <t>window._tipiPlatformY</t>
        </is>
      </c>
      <c r="C88" s="5" t="n">
        <v>1</v>
      </c>
      <c r="D88" s="5" t="n">
        <v>0</v>
      </c>
      <c r="E88" s="5" t="inlineStr">
        <is>
          <t>MOD-082</t>
        </is>
      </c>
      <c r="F88" s="5" t="inlineStr"/>
      <c r="G88" s="5" t="inlineStr">
        <is>
          <t>Write-only</t>
        </is>
      </c>
    </row>
    <row r="89">
      <c r="A89" s="5" t="inlineStr">
        <is>
          <t>GLB-085</t>
        </is>
      </c>
      <c r="B89" s="5" t="inlineStr">
        <is>
          <t>window._v2ActiveMap</t>
        </is>
      </c>
      <c r="C89" s="5" t="n">
        <v>1</v>
      </c>
      <c r="D89" s="5" t="n">
        <v>0</v>
      </c>
      <c r="E89" s="5" t="inlineStr">
        <is>
          <t>MOD-057</t>
        </is>
      </c>
      <c r="F89" s="5" t="inlineStr"/>
      <c r="G89" s="5" t="inlineStr">
        <is>
          <t>Write-only</t>
        </is>
      </c>
    </row>
    <row r="90">
      <c r="A90" s="5" t="inlineStr">
        <is>
          <t>GLB-086</t>
        </is>
      </c>
      <c r="B90" s="5" t="inlineStr">
        <is>
          <t>window._v2HandleAnuInput</t>
        </is>
      </c>
      <c r="C90" s="5" t="n">
        <v>0</v>
      </c>
      <c r="D90" s="5" t="n">
        <v>1</v>
      </c>
      <c r="E90" s="5" t="inlineStr"/>
      <c r="F90" s="5" t="inlineStr">
        <is>
          <t>MOD-102</t>
        </is>
      </c>
      <c r="G90" s="5" t="inlineStr">
        <is>
          <t>Read-only here (written elsewhere/HTML)</t>
        </is>
      </c>
    </row>
    <row r="91">
      <c r="A91" s="5" t="inlineStr">
        <is>
          <t>GLB-087</t>
        </is>
      </c>
      <c r="B91" s="5" t="inlineStr">
        <is>
          <t>window._v2ListMaps</t>
        </is>
      </c>
      <c r="C91" s="5" t="n">
        <v>1</v>
      </c>
      <c r="D91" s="5" t="n">
        <v>0</v>
      </c>
      <c r="E91" s="5" t="inlineStr">
        <is>
          <t>MOD-057</t>
        </is>
      </c>
      <c r="F91" s="5" t="inlineStr"/>
      <c r="G91" s="5" t="inlineStr">
        <is>
          <t>Write-only</t>
        </is>
      </c>
    </row>
    <row r="92">
      <c r="A92" s="5" t="inlineStr">
        <is>
          <t>GLB-088</t>
        </is>
      </c>
      <c r="B92" s="5" t="inlineStr">
        <is>
          <t>window._v2SetCinematicUiHidden</t>
        </is>
      </c>
      <c r="C92" s="5" t="n">
        <v>0</v>
      </c>
      <c r="D92" s="5" t="n">
        <v>1</v>
      </c>
      <c r="E92" s="5" t="inlineStr"/>
      <c r="F92" s="5" t="inlineStr">
        <is>
          <t>MOD-102</t>
        </is>
      </c>
      <c r="G92" s="5" t="inlineStr">
        <is>
          <t>Read-only here (written elsewhere/HTML)</t>
        </is>
      </c>
    </row>
    <row r="93">
      <c r="A93" s="5" t="inlineStr">
        <is>
          <t>GLB-089</t>
        </is>
      </c>
      <c r="B93" s="5" t="inlineStr">
        <is>
          <t>window._v2SetMap</t>
        </is>
      </c>
      <c r="C93" s="5" t="n">
        <v>1</v>
      </c>
      <c r="D93" s="5" t="n">
        <v>0</v>
      </c>
      <c r="E93" s="5" t="inlineStr">
        <is>
          <t>MOD-057</t>
        </is>
      </c>
      <c r="F93" s="5" t="inlineStr"/>
      <c r="G93" s="5" t="inlineStr">
        <is>
          <t>Write-only</t>
        </is>
      </c>
    </row>
    <row r="94">
      <c r="A94" s="5" t="inlineStr">
        <is>
          <t>GLB-090</t>
        </is>
      </c>
      <c r="B94" s="5" t="inlineStr">
        <is>
          <t>window._v2SyncVillageViewRightStack</t>
        </is>
      </c>
      <c r="C94" s="5" t="n">
        <v>1</v>
      </c>
      <c r="D94" s="5" t="n">
        <v>0</v>
      </c>
      <c r="E94" s="5" t="inlineStr">
        <is>
          <t>MOD-060</t>
        </is>
      </c>
      <c r="F94" s="5" t="inlineStr"/>
      <c r="G94" s="5" t="inlineStr">
        <is>
          <t>Write-only</t>
        </is>
      </c>
    </row>
    <row r="95">
      <c r="A95" s="5" t="inlineStr">
        <is>
          <t>GLB-091</t>
        </is>
      </c>
      <c r="B95" s="5" t="inlineStr">
        <is>
          <t>window._v3DisableSeatedNpcs</t>
        </is>
      </c>
      <c r="C95" s="5" t="n">
        <v>0</v>
      </c>
      <c r="D95" s="5" t="n">
        <v>1</v>
      </c>
      <c r="E95" s="5" t="inlineStr"/>
      <c r="F95" s="5" t="inlineStr">
        <is>
          <t>MOD-082</t>
        </is>
      </c>
      <c r="G95" s="5" t="inlineStr">
        <is>
          <t>Read-only here (written elsewhere/HTML)</t>
        </is>
      </c>
    </row>
    <row r="96">
      <c r="A96" s="5" t="inlineStr">
        <is>
          <t>GLB-092</t>
        </is>
      </c>
      <c r="B96" s="5" t="inlineStr">
        <is>
          <t>window._v4GetPipelineTrace</t>
        </is>
      </c>
      <c r="C96" s="5" t="n">
        <v>1</v>
      </c>
      <c r="D96" s="5" t="n">
        <v>0</v>
      </c>
      <c r="E96" s="5" t="inlineStr">
        <is>
          <t>MOD-060</t>
        </is>
      </c>
      <c r="F96" s="5" t="inlineStr"/>
      <c r="G96" s="5" t="inlineStr">
        <is>
          <t>Write-only</t>
        </is>
      </c>
    </row>
    <row r="97">
      <c r="A97" s="5" t="inlineStr">
        <is>
          <t>GLB-093</t>
        </is>
      </c>
      <c r="B97" s="5" t="inlineStr">
        <is>
          <t>window._v4SmartWalkTo</t>
        </is>
      </c>
      <c r="C97" s="5" t="n">
        <v>1</v>
      </c>
      <c r="D97" s="5" t="n">
        <v>0</v>
      </c>
      <c r="E97" s="5" t="inlineStr">
        <is>
          <t>MOD-015</t>
        </is>
      </c>
      <c r="F97" s="5" t="inlineStr"/>
      <c r="G97" s="5" t="inlineStr">
        <is>
          <t>Write-only</t>
        </is>
      </c>
    </row>
    <row r="98">
      <c r="A98" s="5" t="inlineStr">
        <is>
          <t>GLB-094</t>
        </is>
      </c>
      <c r="B98" s="5" t="inlineStr">
        <is>
          <t>window._v4StartFishing</t>
        </is>
      </c>
      <c r="C98" s="5" t="n">
        <v>1</v>
      </c>
      <c r="D98" s="5" t="n">
        <v>0</v>
      </c>
      <c r="E98" s="5" t="inlineStr">
        <is>
          <t>MOD-023</t>
        </is>
      </c>
      <c r="F98" s="5" t="inlineStr"/>
      <c r="G98" s="5" t="inlineStr">
        <is>
          <t>Write-only</t>
        </is>
      </c>
    </row>
    <row r="99">
      <c r="A99" s="5" t="inlineStr">
        <is>
          <t>GLB-095</t>
        </is>
      </c>
      <c r="B99" s="5" t="inlineStr">
        <is>
          <t>window._v4ToggleJournal</t>
        </is>
      </c>
      <c r="C99" s="5" t="n">
        <v>0</v>
      </c>
      <c r="D99" s="5" t="n">
        <v>1</v>
      </c>
      <c r="E99" s="5" t="inlineStr"/>
      <c r="F99" s="5" t="inlineStr">
        <is>
          <t>MOD-016</t>
        </is>
      </c>
      <c r="G99" s="5" t="inlineStr">
        <is>
          <t>Read-only here (written elsewhere/HTML)</t>
        </is>
      </c>
    </row>
    <row r="100">
      <c r="A100" s="5" t="inlineStr">
        <is>
          <t>GLB-096</t>
        </is>
      </c>
      <c r="B100" s="5" t="inlineStr">
        <is>
          <t>window._v4TogglePanel</t>
        </is>
      </c>
      <c r="C100" s="5" t="n">
        <v>0</v>
      </c>
      <c r="D100" s="5" t="n">
        <v>1</v>
      </c>
      <c r="E100" s="5" t="inlineStr"/>
      <c r="F100" s="5" t="inlineStr">
        <is>
          <t>MOD-016</t>
        </is>
      </c>
      <c r="G100" s="5" t="inlineStr">
        <is>
          <t>Read-only here (written elsewhere/HTML)</t>
        </is>
      </c>
    </row>
    <row r="101">
      <c r="A101" s="5" t="inlineStr">
        <is>
          <t>GLB-097</t>
        </is>
      </c>
      <c r="B101" s="5" t="inlineStr">
        <is>
          <t>window._v4ToggleTopDown</t>
        </is>
      </c>
      <c r="C101" s="5" t="n">
        <v>1</v>
      </c>
      <c r="D101" s="5" t="n">
        <v>0</v>
      </c>
      <c r="E101" s="5" t="inlineStr">
        <is>
          <t>MOD-016</t>
        </is>
      </c>
      <c r="F101" s="5" t="inlineStr"/>
      <c r="G101" s="5" t="inlineStr">
        <is>
          <t>Write-only</t>
        </is>
      </c>
    </row>
    <row r="102">
      <c r="A102" s="5" t="inlineStr">
        <is>
          <t>GLB-098</t>
        </is>
      </c>
      <c r="B102" s="5" t="inlineStr">
        <is>
          <t>window._v4WalkTo</t>
        </is>
      </c>
      <c r="C102" s="5" t="n">
        <v>1</v>
      </c>
      <c r="D102" s="5" t="n">
        <v>0</v>
      </c>
      <c r="E102" s="5" t="inlineStr">
        <is>
          <t>MOD-015</t>
        </is>
      </c>
      <c r="F102" s="5" t="inlineStr"/>
      <c r="G102" s="5" t="inlineStr">
        <is>
          <t>Write-only</t>
        </is>
      </c>
    </row>
    <row r="103">
      <c r="A103" s="5" t="inlineStr">
        <is>
          <t>GLB-099</t>
        </is>
      </c>
      <c r="B103" s="5" t="inlineStr">
        <is>
          <t>window.dispatchEvent</t>
        </is>
      </c>
      <c r="C103" s="5" t="n">
        <v>0</v>
      </c>
      <c r="D103" s="5" t="n">
        <v>1</v>
      </c>
      <c r="E103" s="5" t="inlineStr"/>
      <c r="F103" s="5" t="inlineStr">
        <is>
          <t>MOD-044</t>
        </is>
      </c>
      <c r="G103" s="5" t="inlineStr">
        <is>
          <t>Read-only here (written elsewhere/HTML)</t>
        </is>
      </c>
    </row>
    <row r="104">
      <c r="A104" s="5" t="inlineStr">
        <is>
          <t>GLB-100</t>
        </is>
      </c>
      <c r="B104" s="5" t="inlineStr">
        <is>
          <t>window.icons</t>
        </is>
      </c>
      <c r="C104" s="5" t="n">
        <v>0</v>
      </c>
      <c r="D104" s="5" t="n">
        <v>1</v>
      </c>
      <c r="E104" s="5" t="inlineStr"/>
      <c r="F104" s="5" t="inlineStr">
        <is>
          <t>MOD-049</t>
        </is>
      </c>
      <c r="G104" s="5" t="inlineStr">
        <is>
          <t>Read-only here (written elsewhere/HTML)</t>
        </is>
      </c>
    </row>
    <row r="105">
      <c r="A105" s="5" t="inlineStr">
        <is>
          <t>GLB-101</t>
        </is>
      </c>
      <c r="B105" s="5" t="inlineStr">
        <is>
          <t>window.natureSpiritSystem</t>
        </is>
      </c>
      <c r="C105" s="5" t="n">
        <v>0</v>
      </c>
      <c r="D105" s="5" t="n">
        <v>1</v>
      </c>
      <c r="E105" s="5" t="inlineStr"/>
      <c r="F105" s="5" t="inlineStr">
        <is>
          <t>MOD-102</t>
        </is>
      </c>
      <c r="G105" s="5" t="inlineStr">
        <is>
          <t>Read-only here (written elsewhere/HTML)</t>
        </is>
      </c>
    </row>
    <row r="106">
      <c r="A106" s="5" t="inlineStr">
        <is>
          <t>GLB-102</t>
        </is>
      </c>
      <c r="B106" s="5" t="inlineStr">
        <is>
          <t>window.sanctuaryFishingFocus</t>
        </is>
      </c>
      <c r="C106" s="5" t="n">
        <v>1</v>
      </c>
      <c r="D106" s="5" t="n">
        <v>0</v>
      </c>
      <c r="E106" s="5" t="inlineStr">
        <is>
          <t>MOD-023</t>
        </is>
      </c>
      <c r="F106" s="5" t="inlineStr"/>
      <c r="G106" s="5" t="inlineStr">
        <is>
          <t>Write-only</t>
        </is>
      </c>
    </row>
    <row r="107">
      <c r="A107" s="5" t="inlineStr">
        <is>
          <t>GLB-103</t>
        </is>
      </c>
      <c r="B107" s="5" t="inlineStr">
        <is>
          <t>window.sanctuaryInventory</t>
        </is>
      </c>
      <c r="C107" s="5" t="n">
        <v>1</v>
      </c>
      <c r="D107" s="5" t="n">
        <v>0</v>
      </c>
      <c r="E107" s="5" t="inlineStr">
        <is>
          <t>MOD-029</t>
        </is>
      </c>
      <c r="F107" s="5" t="inlineStr"/>
      <c r="G107" s="5" t="inlineStr">
        <is>
          <t>Write-only</t>
        </is>
      </c>
    </row>
    <row r="108">
      <c r="A108" s="5" t="inlineStr">
        <is>
          <t>GLB-104</t>
        </is>
      </c>
      <c r="B108" s="5" t="inlineStr">
        <is>
          <t>window.sanctuaryJournalBridge</t>
        </is>
      </c>
      <c r="C108" s="5" t="n">
        <v>1</v>
      </c>
      <c r="D108" s="5" t="n">
        <v>0</v>
      </c>
      <c r="E108" s="5" t="inlineStr">
        <is>
          <t>MOD-030</t>
        </is>
      </c>
      <c r="F108" s="5" t="inlineStr"/>
      <c r="G108" s="5" t="inlineStr">
        <is>
          <t>Write-only</t>
        </is>
      </c>
    </row>
    <row r="109">
      <c r="A109" s="5" t="inlineStr">
        <is>
          <t>GLB-105</t>
        </is>
      </c>
      <c r="B109" s="5" t="inlineStr">
        <is>
          <t>window.sanctuaryMoveTipi</t>
        </is>
      </c>
      <c r="C109" s="5" t="n">
        <v>1</v>
      </c>
      <c r="D109" s="5" t="n">
        <v>0</v>
      </c>
      <c r="E109" s="5" t="inlineStr">
        <is>
          <t>MOD-039</t>
        </is>
      </c>
      <c r="F109" s="5" t="inlineStr"/>
      <c r="G109" s="5" t="inlineStr">
        <is>
          <t>Write-only</t>
        </is>
      </c>
    </row>
    <row r="110">
      <c r="A110" s="5" t="inlineStr">
        <is>
          <t>GLB-106</t>
        </is>
      </c>
      <c r="B110" s="5" t="inlineStr">
        <is>
          <t>window.sanctuaryWelcome</t>
        </is>
      </c>
      <c r="C110" s="5" t="n">
        <v>1</v>
      </c>
      <c r="D110" s="5" t="n">
        <v>0</v>
      </c>
      <c r="E110" s="5" t="inlineStr">
        <is>
          <t>MOD-045</t>
        </is>
      </c>
      <c r="F110" s="5" t="inlineStr"/>
      <c r="G110" s="5" t="inlineStr">
        <is>
          <t>Write-only</t>
        </is>
      </c>
    </row>
    <row r="111">
      <c r="A111" s="5" t="inlineStr">
        <is>
          <t>GLB-107</t>
        </is>
      </c>
      <c r="B111" s="5" t="inlineStr">
        <is>
          <t>window.setTimeout</t>
        </is>
      </c>
      <c r="C111" s="5" t="n">
        <v>0</v>
      </c>
      <c r="D111" s="5" t="n">
        <v>1</v>
      </c>
      <c r="E111" s="5" t="inlineStr"/>
      <c r="F111" s="5" t="inlineStr">
        <is>
          <t>MOD-045</t>
        </is>
      </c>
      <c r="G111" s="5" t="inlineStr">
        <is>
          <t>Read-only here (written elsewhere/HTML)</t>
        </is>
      </c>
    </row>
    <row r="112">
      <c r="A112" s="5" t="inlineStr">
        <is>
          <t>GLB-108</t>
        </is>
      </c>
      <c r="B112" s="5" t="inlineStr">
        <is>
          <t>window.showWoWCombatText</t>
        </is>
      </c>
      <c r="C112" s="5" t="n">
        <v>0</v>
      </c>
      <c r="D112" s="5" t="n">
        <v>1</v>
      </c>
      <c r="E112" s="5" t="inlineStr"/>
      <c r="F112" s="5" t="inlineStr">
        <is>
          <t>MOD-021</t>
        </is>
      </c>
      <c r="G112" s="5" t="inlineStr">
        <is>
          <t>Read-only here (written elsewhere/HTML)</t>
        </is>
      </c>
    </row>
    <row r="113">
      <c r="A113" s="5" t="inlineStr">
        <is>
          <t>GLB-109</t>
        </is>
      </c>
      <c r="B113" s="5" t="inlineStr">
        <is>
          <t>window.swayTrees</t>
        </is>
      </c>
      <c r="C113" s="5" t="n">
        <v>0</v>
      </c>
      <c r="D113" s="5" t="n">
        <v>1</v>
      </c>
      <c r="E113" s="5" t="inlineStr"/>
      <c r="F113" s="5" t="inlineStr">
        <is>
          <t>MOD-059</t>
        </is>
      </c>
      <c r="G113" s="5" t="inlineStr">
        <is>
          <t>Read-only here (written elsewhere/HTML)</t>
        </is>
      </c>
    </row>
  </sheetData>
  <autoFilter ref="A4:G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34" customWidth="1" min="3" max="3"/>
    <col width="18" customWidth="1" min="4" max="4"/>
    <col width="22" customWidth="1" min="5" max="5"/>
    <col width="32" customWidth="1" min="6" max="6"/>
  </cols>
  <sheetData>
    <row r="1">
      <c r="A1" s="9" t="inlineStr">
        <is>
          <t>ANU events</t>
        </is>
      </c>
    </row>
    <row r="2">
      <c r="A2" s="10" t="inlineStr">
        <is>
          <t>From js/v2/anu/anuEvents.js</t>
        </is>
      </c>
    </row>
    <row r="4" ht="30" customHeight="1">
      <c r="A4" s="12" t="inlineStr">
        <is>
          <t>Event ID</t>
        </is>
      </c>
      <c r="B4" s="12" t="inlineStr">
        <is>
          <t>Event</t>
        </is>
      </c>
      <c r="C4" s="12" t="inlineStr">
        <is>
          <t>Live dispatchers</t>
        </is>
      </c>
      <c r="D4" s="12" t="inlineStr">
        <is>
          <t>Live subscribers</t>
        </is>
      </c>
      <c r="E4" s="12" t="inlineStr">
        <is>
          <t>Legacy subscribers</t>
        </is>
      </c>
      <c r="F4" s="12" t="inlineStr">
        <is>
          <t>Verdict</t>
        </is>
      </c>
    </row>
    <row r="5">
      <c r="A5" s="5" t="inlineStr">
        <is>
          <t>EVT-01</t>
        </is>
      </c>
      <c r="B5" s="5" t="inlineStr">
        <is>
          <t>ANU_EVENTS.SEASON_CHANGE</t>
        </is>
      </c>
      <c r="C5" s="5" t="inlineStr">
        <is>
          <t>MOD-018</t>
        </is>
      </c>
      <c r="D5" s="5" t="inlineStr"/>
      <c r="E5" s="5" t="inlineStr">
        <is>
          <t>MOD-055, MOD-071</t>
        </is>
      </c>
      <c r="F5" s="5" t="inlineStr">
        <is>
          <t>Dispatched, nobody listens (live)</t>
        </is>
      </c>
    </row>
    <row r="6">
      <c r="A6" s="5" t="inlineStr">
        <is>
          <t>EVT-02</t>
        </is>
      </c>
      <c r="B6" s="5" t="inlineStr">
        <is>
          <t>ANU_EVENTS.PLAYER_JUMP</t>
        </is>
      </c>
      <c r="C6" s="5" t="inlineStr"/>
      <c r="D6" s="5" t="inlineStr"/>
      <c r="E6" s="5" t="inlineStr"/>
      <c r="F6" s="5" t="inlineStr">
        <is>
          <t>Never dispatched (live)</t>
        </is>
      </c>
    </row>
    <row r="7">
      <c r="A7" s="5" t="inlineStr">
        <is>
          <t>EVT-03</t>
        </is>
      </c>
      <c r="B7" s="5" t="inlineStr">
        <is>
          <t>ANU_EVENTS.ORCHESTRATOR_BENCH_COMPLETE</t>
        </is>
      </c>
      <c r="C7" s="5" t="inlineStr">
        <is>
          <t>MOD-059</t>
        </is>
      </c>
      <c r="D7" s="5" t="inlineStr"/>
      <c r="E7" s="5" t="inlineStr"/>
      <c r="F7" s="5" t="inlineStr">
        <is>
          <t>Dispatched, nobody listens (live)</t>
        </is>
      </c>
    </row>
    <row r="8">
      <c r="A8" s="5" t="inlineStr">
        <is>
          <t>EVT-04</t>
        </is>
      </c>
      <c r="B8" s="5" t="inlineStr">
        <is>
          <t>ANU_EVENTS.MODULE_ACTIVATED</t>
        </is>
      </c>
      <c r="C8" s="5" t="inlineStr">
        <is>
          <t>MOD-059</t>
        </is>
      </c>
      <c r="D8" s="5" t="inlineStr"/>
      <c r="E8" s="5" t="inlineStr"/>
      <c r="F8" s="5" t="inlineStr">
        <is>
          <t>Dispatched, nobody listens (live)</t>
        </is>
      </c>
    </row>
    <row r="9">
      <c r="A9" s="5" t="inlineStr">
        <is>
          <t>EVT-05</t>
        </is>
      </c>
      <c r="B9" s="5" t="inlineStr">
        <is>
          <t>ANU_EVENTS.MODULE_DEACTIVATED</t>
        </is>
      </c>
      <c r="C9" s="5" t="inlineStr">
        <is>
          <t>MOD-059</t>
        </is>
      </c>
      <c r="D9" s="5" t="inlineStr"/>
      <c r="E9" s="5" t="inlineStr"/>
      <c r="F9" s="5" t="inlineStr">
        <is>
          <t>Dispatched, nobody listens (live)</t>
        </is>
      </c>
    </row>
    <row r="10">
      <c r="A10" s="5" t="inlineStr">
        <is>
          <t>EVT-06</t>
        </is>
      </c>
      <c r="B10" s="5" t="inlineStr">
        <is>
          <t>ANU_EVENTS.ORCHESTRATOR_LOOP_ERROR</t>
        </is>
      </c>
      <c r="C10" s="5" t="inlineStr">
        <is>
          <t>MOD-087</t>
        </is>
      </c>
      <c r="D10" s="5" t="inlineStr"/>
      <c r="E10" s="5" t="inlineStr"/>
      <c r="F10" s="5" t="inlineStr">
        <is>
          <t>Dispatched, nobody listens (live)</t>
        </is>
      </c>
    </row>
    <row r="11">
      <c r="A11" s="5" t="inlineStr">
        <is>
          <t>EVT-07</t>
        </is>
      </c>
      <c r="B11" s="5" t="inlineStr">
        <is>
          <t>ANU_EVENTS.MODULE_LOAD_ERROR</t>
        </is>
      </c>
      <c r="C11" s="5" t="inlineStr">
        <is>
          <t>MOD-087</t>
        </is>
      </c>
      <c r="D11" s="5" t="inlineStr"/>
      <c r="E11" s="5" t="inlineStr"/>
      <c r="F11" s="5" t="inlineStr">
        <is>
          <t>Dispatched, nobody listens (live)</t>
        </is>
      </c>
    </row>
    <row r="12">
      <c r="A12" s="5" t="inlineStr">
        <is>
          <t>EVT-08</t>
        </is>
      </c>
      <c r="B12" s="5" t="inlineStr">
        <is>
          <t>ANU_EVENTS.PIPELINE_STRESS_LEVEL</t>
        </is>
      </c>
      <c r="C12" s="5" t="inlineStr">
        <is>
          <t>MOD-087</t>
        </is>
      </c>
      <c r="D12" s="5" t="inlineStr"/>
      <c r="E12" s="5" t="inlineStr"/>
      <c r="F12" s="5" t="inlineStr">
        <is>
          <t>Dispatched, nobody listens (live)</t>
        </is>
      </c>
    </row>
    <row r="13">
      <c r="A13" s="5" t="inlineStr">
        <is>
          <t>EVT-09</t>
        </is>
      </c>
      <c r="B13" s="5" t="inlineStr">
        <is>
          <t>ANU_EVENTS.FUZZY_PIPELINE_SENSOR</t>
        </is>
      </c>
      <c r="C13" s="5" t="inlineStr">
        <is>
          <t>MOD-049</t>
        </is>
      </c>
      <c r="D13" s="5" t="inlineStr"/>
      <c r="E13" s="5" t="inlineStr"/>
      <c r="F13" s="5" t="inlineStr">
        <is>
          <t>Dispatched, nobody listens (live)</t>
        </is>
      </c>
    </row>
    <row r="14">
      <c r="A14" s="5" t="inlineStr">
        <is>
          <t>EVT-10</t>
        </is>
      </c>
      <c r="B14" s="5" t="inlineStr">
        <is>
          <t>ANU_EVENTS.PLAYER_KEY_EDGE</t>
        </is>
      </c>
      <c r="C14" s="5" t="inlineStr"/>
      <c r="D14" s="5" t="inlineStr"/>
      <c r="E14" s="5" t="inlineStr"/>
      <c r="F14" s="5" t="inlineStr">
        <is>
          <t>Never dispatched (live)</t>
        </is>
      </c>
    </row>
    <row r="15">
      <c r="A15" s="5" t="inlineStr">
        <is>
          <t>EVT-11</t>
        </is>
      </c>
      <c r="B15" s="5" t="inlineStr">
        <is>
          <t>ANU_EVENTS.PLAYER_AVATAR_ANIMATION</t>
        </is>
      </c>
      <c r="C15" s="5" t="inlineStr"/>
      <c r="D15" s="5" t="inlineStr"/>
      <c r="E15" s="5" t="inlineStr"/>
      <c r="F15" s="5" t="inlineStr">
        <is>
          <t>Never dispatched (live)</t>
        </is>
      </c>
    </row>
    <row r="16">
      <c r="A16" s="5" t="inlineStr">
        <is>
          <t>EVT-12</t>
        </is>
      </c>
      <c r="B16" s="5" t="inlineStr">
        <is>
          <t>ANU_EVENTS.PLAYER_NPC_GREETING</t>
        </is>
      </c>
      <c r="C16" s="5" t="inlineStr">
        <is>
          <t>MOD-058</t>
        </is>
      </c>
      <c r="D16" s="5" t="inlineStr"/>
      <c r="E16" s="5" t="inlineStr"/>
      <c r="F16" s="5" t="inlineStr">
        <is>
          <t>Dispatched, nobody listens (live)</t>
        </is>
      </c>
    </row>
    <row r="17">
      <c r="A17" s="5" t="inlineStr">
        <is>
          <t>EVT-13</t>
        </is>
      </c>
      <c r="B17" s="5" t="inlineStr">
        <is>
          <t>ANU_EVENTS.PLAYER_STATE_SAMPLE</t>
        </is>
      </c>
      <c r="C17" s="5" t="inlineStr"/>
      <c r="D17" s="5" t="inlineStr"/>
      <c r="E17" s="5" t="inlineStr"/>
      <c r="F17" s="5" t="inlineStr">
        <is>
          <t>Never dispatched (live)</t>
        </is>
      </c>
    </row>
    <row r="18">
      <c r="A18" s="5" t="inlineStr">
        <is>
          <t>EVT-14</t>
        </is>
      </c>
      <c r="B18" s="5" t="inlineStr">
        <is>
          <t>ANU_EVENTS.SCENE_INVENTORY_TICK</t>
        </is>
      </c>
      <c r="C18" s="5" t="inlineStr">
        <is>
          <t>MOD-097</t>
        </is>
      </c>
      <c r="D18" s="5" t="inlineStr"/>
      <c r="E18" s="5" t="inlineStr"/>
      <c r="F18" s="5" t="inlineStr">
        <is>
          <t>Dispatched, nobody listens (live)</t>
        </is>
      </c>
    </row>
    <row r="19">
      <c r="A19" s="5" t="inlineStr">
        <is>
          <t>EVT-15</t>
        </is>
      </c>
      <c r="B19" s="5" t="inlineStr">
        <is>
          <t>ANU_EVENTS.UI_PIP_VIEW_TOGGLE</t>
        </is>
      </c>
      <c r="C19" s="5" t="inlineStr"/>
      <c r="D19" s="5" t="inlineStr"/>
      <c r="E19" s="5" t="inlineStr"/>
      <c r="F19" s="5" t="inlineStr">
        <is>
          <t>Never dispatched (live)</t>
        </is>
      </c>
    </row>
    <row r="20">
      <c r="A20" s="5" t="inlineStr">
        <is>
          <t>EVT-16</t>
        </is>
      </c>
      <c r="B20" s="5" t="inlineStr">
        <is>
          <t>ANU_EVENTS.MOON_DIAL_PHASE</t>
        </is>
      </c>
      <c r="C20" s="5" t="inlineStr"/>
      <c r="D20" s="5" t="inlineStr"/>
      <c r="E20" s="5" t="inlineStr"/>
      <c r="F20" s="5" t="inlineStr">
        <is>
          <t>Never dispatched (live)</t>
        </is>
      </c>
    </row>
    <row r="21">
      <c r="A21" s="5" t="inlineStr">
        <is>
          <t>EVT-17</t>
        </is>
      </c>
      <c r="B21" s="5" t="inlineStr">
        <is>
          <t>ANU_EVENTS.FAUNA_TICK</t>
        </is>
      </c>
      <c r="C21" s="5" t="inlineStr">
        <is>
          <t>MOD-090</t>
        </is>
      </c>
      <c r="D21" s="5" t="inlineStr"/>
      <c r="E21" s="5" t="inlineStr"/>
      <c r="F21" s="5" t="inlineStr">
        <is>
          <t>Dispatched, nobody listens (live)</t>
        </is>
      </c>
    </row>
    <row r="22">
      <c r="A22" s="5" t="inlineStr">
        <is>
          <t>EVT-18</t>
        </is>
      </c>
      <c r="B22" s="5" t="inlineStr">
        <is>
          <t>ANU_EVENTS.NPC_ENTITY</t>
        </is>
      </c>
      <c r="C22" s="5" t="inlineStr"/>
      <c r="D22" s="5" t="inlineStr"/>
      <c r="E22" s="5" t="inlineStr"/>
      <c r="F22" s="5" t="inlineStr">
        <is>
          <t>Never dispatched (live)</t>
        </is>
      </c>
    </row>
    <row r="23">
      <c r="A23" s="5" t="inlineStr">
        <is>
          <t>EVT-19</t>
        </is>
      </c>
      <c r="B23" s="5" t="inlineStr">
        <is>
          <t>ANU_EVENTS.STRUCTURE_EVENT</t>
        </is>
      </c>
      <c r="C23" s="5" t="inlineStr"/>
      <c r="D23" s="5" t="inlineStr"/>
      <c r="E23" s="5" t="inlineStr"/>
      <c r="F23" s="5" t="inlineStr">
        <is>
          <t>Never dispatched (live)</t>
        </is>
      </c>
    </row>
    <row r="24">
      <c r="A24" s="5" t="inlineStr">
        <is>
          <t>EVT-20</t>
        </is>
      </c>
      <c r="B24" s="5" t="inlineStr">
        <is>
          <t>ANU_EVENTS.ITEM_EVENT</t>
        </is>
      </c>
      <c r="C24" s="5" t="inlineStr">
        <is>
          <t>MOD-029</t>
        </is>
      </c>
      <c r="D24" s="5" t="inlineStr"/>
      <c r="E24" s="5" t="inlineStr"/>
      <c r="F24" s="5" t="inlineStr">
        <is>
          <t>Dispatched, nobody listens (live)</t>
        </is>
      </c>
    </row>
    <row r="25">
      <c r="A25" s="5" t="inlineStr">
        <is>
          <t>EVT-21</t>
        </is>
      </c>
      <c r="B25" s="5" t="inlineStr">
        <is>
          <t>ANU_EVENTS.WORLD_SENSORIUM</t>
        </is>
      </c>
      <c r="C25" s="5" t="inlineStr">
        <is>
          <t>MOD-049</t>
        </is>
      </c>
      <c r="D25" s="5" t="inlineStr"/>
      <c r="E25" s="5" t="inlineStr"/>
      <c r="F25" s="5" t="inlineStr">
        <is>
          <t>Dispatched, nobody listens (live)</t>
        </is>
      </c>
    </row>
    <row r="26">
      <c r="A26" s="5" t="inlineStr">
        <is>
          <t>EVT-22</t>
        </is>
      </c>
      <c r="B26" s="5" t="inlineStr">
        <is>
          <t>ANU_EVENTS.GOVERNANCE_SNAPSHOT</t>
        </is>
      </c>
      <c r="C26" s="5" t="inlineStr">
        <is>
          <t>MOD-049</t>
        </is>
      </c>
      <c r="D26" s="5" t="inlineStr"/>
      <c r="E26" s="5" t="inlineStr"/>
      <c r="F26" s="5" t="inlineStr">
        <is>
          <t>Dispatched, nobody listens (live)</t>
        </is>
      </c>
    </row>
    <row r="27">
      <c r="A27" s="5" t="inlineStr">
        <is>
          <t>EVT-23</t>
        </is>
      </c>
      <c r="B27" s="5" t="inlineStr">
        <is>
          <t>ANU_EVENTS.RENDERING_DPR_CHANGE</t>
        </is>
      </c>
      <c r="C27" s="5" t="inlineStr">
        <is>
          <t>MOD-002</t>
        </is>
      </c>
      <c r="D27" s="5" t="inlineStr"/>
      <c r="E27" s="5" t="inlineStr"/>
      <c r="F27" s="5" t="inlineStr">
        <is>
          <t>Dispatched, nobody listens (live)</t>
        </is>
      </c>
    </row>
    <row r="28">
      <c r="A28" s="5" t="inlineStr">
        <is>
          <t>EVT-24</t>
        </is>
      </c>
      <c r="B28" s="5" t="inlineStr">
        <is>
          <t>ANU_EVENTS.SANCTUARY_MOLD</t>
        </is>
      </c>
      <c r="C28" s="5" t="inlineStr">
        <is>
          <t>MOD-033</t>
        </is>
      </c>
      <c r="D28" s="5" t="inlineStr"/>
      <c r="E28" s="5" t="inlineStr"/>
      <c r="F28" s="5" t="inlineStr">
        <is>
          <t>Dispatched, nobody listens (live)</t>
        </is>
      </c>
    </row>
    <row r="29">
      <c r="A29" s="5" t="inlineStr">
        <is>
          <t>EVT-25</t>
        </is>
      </c>
      <c r="B29" s="5" t="inlineStr">
        <is>
          <t>ANU_EVENTS.SANCTUARY_WORLD_STATE</t>
        </is>
      </c>
      <c r="C29" s="5" t="inlineStr">
        <is>
          <t>MOD-016</t>
        </is>
      </c>
      <c r="D29" s="5" t="inlineStr"/>
      <c r="E29" s="5" t="inlineStr"/>
      <c r="F29" s="5" t="inlineStr">
        <is>
          <t>Dispatched, nobody listens (live)</t>
        </is>
      </c>
    </row>
  </sheetData>
  <autoFilter ref="A4:F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26" customWidth="1" min="3" max="3"/>
    <col width="44" customWidth="1" min="4" max="4"/>
    <col width="36" customWidth="1" min="5" max="5"/>
  </cols>
  <sheetData>
    <row r="1">
      <c r="A1" s="9" t="inlineStr">
        <is>
          <t>Runtime services</t>
        </is>
      </c>
    </row>
    <row r="2">
      <c r="A2" s="10" t="inlineStr">
        <is>
          <t>registerRuntimeService / getRuntimeService call sites</t>
        </is>
      </c>
    </row>
    <row r="4" ht="30" customHeight="1">
      <c r="A4" s="12" t="inlineStr">
        <is>
          <t>Service ID</t>
        </is>
      </c>
      <c r="B4" s="12" t="inlineStr">
        <is>
          <t>Service</t>
        </is>
      </c>
      <c r="C4" s="12" t="inlineStr">
        <is>
          <t>Registered by</t>
        </is>
      </c>
      <c r="D4" s="12" t="inlineStr">
        <is>
          <t>Used by</t>
        </is>
      </c>
      <c r="E4" s="12" t="inlineStr">
        <is>
          <t>Verdict</t>
        </is>
      </c>
    </row>
    <row r="5">
      <c r="A5" s="5" t="inlineStr">
        <is>
          <t>SVC-01</t>
        </is>
      </c>
      <c r="B5" s="5" t="inlineStr">
        <is>
          <t>AnuNatureAwareness</t>
        </is>
      </c>
      <c r="C5" s="5" t="inlineStr">
        <is>
          <t>MOD-090</t>
        </is>
      </c>
      <c r="D5" s="5" t="inlineStr">
        <is>
          <t>MOD-090</t>
        </is>
      </c>
      <c r="E5" s="5" t="inlineStr">
        <is>
          <t>Registered and used</t>
        </is>
      </c>
    </row>
    <row r="6">
      <c r="A6" s="5" t="inlineStr">
        <is>
          <t>SVC-02</t>
        </is>
      </c>
      <c r="B6" s="5" t="inlineStr">
        <is>
          <t>PipOrthoBranchClip</t>
        </is>
      </c>
      <c r="C6" s="5" t="inlineStr">
        <is>
          <t>MOD-094</t>
        </is>
      </c>
      <c r="D6" s="5" t="inlineStr">
        <is>
          <t>MOD-059</t>
        </is>
      </c>
      <c r="E6" s="5" t="inlineStr">
        <is>
          <t>Registered and used</t>
        </is>
      </c>
    </row>
    <row r="7">
      <c r="A7" s="5" t="inlineStr">
        <is>
          <t>SVC-03</t>
        </is>
      </c>
      <c r="B7" s="5" t="inlineStr">
        <is>
          <t>WebFontsService</t>
        </is>
      </c>
      <c r="C7" s="5" t="inlineStr">
        <is>
          <t>MOD-064</t>
        </is>
      </c>
      <c r="D7" s="5" t="inlineStr">
        <is>
          <t>MOD-060</t>
        </is>
      </c>
      <c r="E7" s="5" t="inlineStr">
        <is>
          <t>Registered and used</t>
        </is>
      </c>
    </row>
    <row r="8">
      <c r="A8" s="5" t="inlineStr">
        <is>
          <t>SVC-04</t>
        </is>
      </c>
      <c r="B8" s="5" t="inlineStr">
        <is>
          <t>WorldPhysics</t>
        </is>
      </c>
      <c r="C8" s="5" t="inlineStr"/>
      <c r="D8" s="5" t="inlineStr">
        <is>
          <t>MOD-082, MOD-090</t>
        </is>
      </c>
      <c r="E8" s="5" t="inlineStr">
        <is>
          <t>Registered and used</t>
        </is>
      </c>
    </row>
    <row r="9">
      <c r="A9" s="5" t="inlineStr">
        <is>
          <t>SVC-05</t>
        </is>
      </c>
      <c r="B9" s="5" t="inlineStr">
        <is>
          <t>WorldPlayer</t>
        </is>
      </c>
      <c r="C9" s="5" t="inlineStr">
        <is>
          <t>MOD-046</t>
        </is>
      </c>
      <c r="D9" s="5" t="inlineStr">
        <is>
          <t>MOD-046, MOD-059, MOD-064</t>
        </is>
      </c>
      <c r="E9" s="5" t="inlineStr">
        <is>
          <t>Registered and used</t>
        </is>
      </c>
    </row>
  </sheetData>
  <autoFilter ref="A4:E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30" customWidth="1" min="3" max="3"/>
    <col width="50" customWidth="1" min="4" max="4"/>
    <col width="50" customWidth="1" min="5" max="5"/>
    <col width="40" customWidth="1" min="6" max="6"/>
    <col width="30" customWidth="1" min="7" max="7"/>
  </cols>
  <sheetData>
    <row r="1">
      <c r="A1" s="9" t="inlineStr">
        <is>
          <t>Limbo calls</t>
        </is>
      </c>
    </row>
    <row r="2">
      <c r="A2" s="10" t="inlineStr">
        <is>
          <t>limbo.py — LIMBO rows have no receiver anywhere in live code (all frames scanned, comments excluded)</t>
        </is>
      </c>
    </row>
    <row r="4" ht="30" customHeight="1">
      <c r="A4" s="12" t="inlineStr">
        <is>
          <t>Call ID</t>
        </is>
      </c>
      <c r="B4" s="12" t="inlineStr">
        <is>
          <t>Kind</t>
        </is>
      </c>
      <c r="C4" s="12" t="inlineStr">
        <is>
          <t>Name</t>
        </is>
      </c>
      <c r="D4" s="12" t="inlineStr">
        <is>
          <t>Senders (file:line)</t>
        </is>
      </c>
      <c r="E4" s="12" t="inlineStr">
        <is>
          <t>Receivers (file:line)</t>
        </is>
      </c>
      <c r="F4" s="12" t="inlineStr">
        <is>
          <t>Verdict</t>
        </is>
      </c>
      <c r="G4" s="12" t="inlineStr">
        <is>
          <t>Note</t>
        </is>
      </c>
    </row>
    <row r="5">
      <c r="A5" s="5" t="inlineStr">
        <is>
          <t>LMB-001</t>
        </is>
      </c>
      <c r="B5" s="5" t="inlineStr">
        <is>
          <t>ANU bus event</t>
        </is>
      </c>
      <c r="C5" s="5" t="inlineStr">
        <is>
          <t>FAUNA_TICK</t>
        </is>
      </c>
      <c r="D5" s="5" t="inlineStr">
        <is>
          <t>js/v2/anu/AnuNatureAwareness.js:L217</t>
        </is>
      </c>
      <c r="E5" s="5" t="inlineStr"/>
      <c r="F5" s="13" t="inlineStr">
        <is>
          <t>LIMBO — no code subscriber (only the DevTools AnuUniverse.interactions.subscribe API)</t>
        </is>
      </c>
      <c r="G5" s="5" t="inlineStr"/>
    </row>
    <row r="6">
      <c r="A6" s="5" t="inlineStr">
        <is>
          <t>LMB-002</t>
        </is>
      </c>
      <c r="B6" s="5" t="inlineStr">
        <is>
          <t>ANU bus event</t>
        </is>
      </c>
      <c r="C6" s="5" t="inlineStr">
        <is>
          <t>FUZZY_PIPELINE_SENSOR</t>
        </is>
      </c>
      <c r="D6" s="5" t="inlineStr">
        <is>
          <t>js/v2/AnuModule.js:L405; js/v2/AnuModule.js:L411</t>
        </is>
      </c>
      <c r="E6" s="5" t="inlineStr"/>
      <c r="F6" s="13" t="inlineStr">
        <is>
          <t>LIMBO — no code subscriber (only the DevTools AnuUniverse.interactions.subscribe API)</t>
        </is>
      </c>
      <c r="G6" s="5" t="inlineStr"/>
    </row>
    <row r="7">
      <c r="A7" s="5" t="inlineStr">
        <is>
          <t>LMB-003</t>
        </is>
      </c>
      <c r="B7" s="5" t="inlineStr">
        <is>
          <t>ANU bus event</t>
        </is>
      </c>
      <c r="C7" s="5" t="inlineStr">
        <is>
          <t>GOVERNANCE_SNAPSHOT</t>
        </is>
      </c>
      <c r="D7" s="5" t="inlineStr">
        <is>
          <t>js/v2/AnuModule.js:L434; js/v2/AnuModule.js:L440</t>
        </is>
      </c>
      <c r="E7" s="5" t="inlineStr"/>
      <c r="F7" s="13" t="inlineStr">
        <is>
          <t>LIMBO — no code subscriber (only the DevTools AnuUniverse.interactions.subscribe API)</t>
        </is>
      </c>
      <c r="G7" s="5" t="inlineStr"/>
    </row>
    <row r="8">
      <c r="A8" s="5" t="inlineStr">
        <is>
          <t>LMB-004</t>
        </is>
      </c>
      <c r="B8" s="5" t="inlineStr">
        <is>
          <t>ANU bus event</t>
        </is>
      </c>
      <c r="C8" s="5" t="inlineStr">
        <is>
          <t>ITEM_EVENT</t>
        </is>
      </c>
      <c r="D8" s="5" t="inlineStr">
        <is>
          <t>js/sanctuary/SanctuaryInventory.js:L209</t>
        </is>
      </c>
      <c r="E8" s="5" t="inlineStr"/>
      <c r="F8" s="13" t="inlineStr">
        <is>
          <t>LIMBO — no code subscriber (only the DevTools AnuUniverse.interactions.subscribe API)</t>
        </is>
      </c>
      <c r="G8" s="5" t="inlineStr"/>
    </row>
    <row r="9">
      <c r="A9" s="5" t="inlineStr">
        <is>
          <t>LMB-005</t>
        </is>
      </c>
      <c r="B9" s="5" t="inlineStr">
        <is>
          <t>ANU bus event</t>
        </is>
      </c>
      <c r="C9" s="5" t="inlineStr">
        <is>
          <t>MODULE_ACTIVATED</t>
        </is>
      </c>
      <c r="D9" s="5" t="inlineStr">
        <is>
          <t>js/v2/Orchestrator.js:L447</t>
        </is>
      </c>
      <c r="E9" s="5" t="inlineStr"/>
      <c r="F9" s="13" t="inlineStr">
        <is>
          <t>LIMBO — no code subscriber (only the DevTools AnuUniverse.interactions.subscribe API)</t>
        </is>
      </c>
      <c r="G9" s="5" t="inlineStr"/>
    </row>
    <row r="10">
      <c r="A10" s="5" t="inlineStr">
        <is>
          <t>LMB-006</t>
        </is>
      </c>
      <c r="B10" s="5" t="inlineStr">
        <is>
          <t>ANU bus event</t>
        </is>
      </c>
      <c r="C10" s="5" t="inlineStr">
        <is>
          <t>MODULE_DEACTIVATED</t>
        </is>
      </c>
      <c r="D10" s="5" t="inlineStr">
        <is>
          <t>js/v2/Orchestrator.js:L511</t>
        </is>
      </c>
      <c r="E10" s="5" t="inlineStr"/>
      <c r="F10" s="13" t="inlineStr">
        <is>
          <t>LIMBO — no code subscriber (only the DevTools AnuUniverse.interactions.subscribe API)</t>
        </is>
      </c>
      <c r="G10" s="5" t="inlineStr"/>
    </row>
    <row r="11">
      <c r="A11" s="5" t="inlineStr">
        <is>
          <t>LMB-007</t>
        </is>
      </c>
      <c r="B11" s="5" t="inlineStr">
        <is>
          <t>ANU bus event</t>
        </is>
      </c>
      <c r="C11" s="5" t="inlineStr">
        <is>
          <t>MODULE_LOAD_ERROR</t>
        </is>
      </c>
      <c r="D11" s="5" t="inlineStr">
        <is>
          <t>js/v2/anu/AnuErrorAndStressLedger.js:L63</t>
        </is>
      </c>
      <c r="E11" s="5" t="inlineStr"/>
      <c r="F11" s="13" t="inlineStr">
        <is>
          <t>LIMBO — no code subscriber (only the DevTools AnuUniverse.interactions.subscribe API)</t>
        </is>
      </c>
      <c r="G11" s="5" t="inlineStr"/>
    </row>
    <row r="12">
      <c r="A12" s="5" t="inlineStr">
        <is>
          <t>LMB-008</t>
        </is>
      </c>
      <c r="B12" s="5" t="inlineStr">
        <is>
          <t>ANU bus event</t>
        </is>
      </c>
      <c r="C12" s="5" t="inlineStr">
        <is>
          <t>ORCHESTRATOR_BENCH_COMPLETE</t>
        </is>
      </c>
      <c r="D12" s="5" t="inlineStr">
        <is>
          <t>js/v2/Orchestrator.js:L851</t>
        </is>
      </c>
      <c r="E12" s="5" t="inlineStr"/>
      <c r="F12" s="13" t="inlineStr">
        <is>
          <t>LIMBO — no code subscriber (only the DevTools AnuUniverse.interactions.subscribe API)</t>
        </is>
      </c>
      <c r="G12" s="5" t="inlineStr"/>
    </row>
    <row r="13">
      <c r="A13" s="5" t="inlineStr">
        <is>
          <t>LMB-009</t>
        </is>
      </c>
      <c r="B13" s="5" t="inlineStr">
        <is>
          <t>ANU bus event</t>
        </is>
      </c>
      <c r="C13" s="5" t="inlineStr">
        <is>
          <t>ORCHESTRATOR_LOOP_ERROR</t>
        </is>
      </c>
      <c r="D13" s="5" t="inlineStr">
        <is>
          <t>js/v2/anu/AnuErrorAndStressLedger.js:L45</t>
        </is>
      </c>
      <c r="E13" s="5" t="inlineStr"/>
      <c r="F13" s="13" t="inlineStr">
        <is>
          <t>LIMBO — no code subscriber (only the DevTools AnuUniverse.interactions.subscribe API)</t>
        </is>
      </c>
      <c r="G13" s="5" t="inlineStr"/>
    </row>
    <row r="14">
      <c r="A14" s="5" t="inlineStr">
        <is>
          <t>LMB-010</t>
        </is>
      </c>
      <c r="B14" s="5" t="inlineStr">
        <is>
          <t>ANU bus event</t>
        </is>
      </c>
      <c r="C14" s="5" t="inlineStr">
        <is>
          <t>PIPELINE_STRESS_LEVEL</t>
        </is>
      </c>
      <c r="D14" s="5" t="inlineStr">
        <is>
          <t>js/v2/anu/AnuErrorAndStressLedger.js:L102</t>
        </is>
      </c>
      <c r="E14" s="5" t="inlineStr"/>
      <c r="F14" s="13" t="inlineStr">
        <is>
          <t>LIMBO — no code subscriber (only the DevTools AnuUniverse.interactions.subscribe API)</t>
        </is>
      </c>
      <c r="G14" s="5" t="inlineStr"/>
    </row>
    <row r="15">
      <c r="A15" s="5" t="inlineStr">
        <is>
          <t>LMB-011</t>
        </is>
      </c>
      <c r="B15" s="5" t="inlineStr">
        <is>
          <t>ANU bus event</t>
        </is>
      </c>
      <c r="C15" s="5" t="inlineStr">
        <is>
          <t>PLAYER_NPC_GREETING</t>
        </is>
      </c>
      <c r="D15" s="5" t="inlineStr">
        <is>
          <t>js/v2/NPCBehaviour.js:L275</t>
        </is>
      </c>
      <c r="E15" s="5" t="inlineStr"/>
      <c r="F15" s="13" t="inlineStr">
        <is>
          <t>LIMBO — no code subscriber (only the DevTools AnuUniverse.interactions.subscribe API)</t>
        </is>
      </c>
      <c r="G15" s="5" t="inlineStr"/>
    </row>
    <row r="16">
      <c r="A16" s="5" t="inlineStr">
        <is>
          <t>LMB-012</t>
        </is>
      </c>
      <c r="B16" s="5" t="inlineStr">
        <is>
          <t>ANU bus event</t>
        </is>
      </c>
      <c r="C16" s="5" t="inlineStr">
        <is>
          <t>RENDERING_DPR_CHANGE</t>
        </is>
      </c>
      <c r="D16" s="5" t="inlineStr">
        <is>
          <t>js/sanctuary/AnuAdaptiveDpr.js:L136</t>
        </is>
      </c>
      <c r="E16" s="5" t="inlineStr"/>
      <c r="F16" s="13" t="inlineStr">
        <is>
          <t>LIMBO — no code subscriber (only the DevTools AnuUniverse.interactions.subscribe API)</t>
        </is>
      </c>
      <c r="G16" s="5" t="inlineStr"/>
    </row>
    <row r="17">
      <c r="A17" s="5" t="inlineStr">
        <is>
          <t>LMB-013</t>
        </is>
      </c>
      <c r="B17" s="5" t="inlineStr">
        <is>
          <t>ANU bus event</t>
        </is>
      </c>
      <c r="C17" s="5" t="inlineStr">
        <is>
          <t>SANCTUARY_MOLD</t>
        </is>
      </c>
      <c r="D17" s="5" t="inlineStr">
        <is>
          <t>js/sanctuary/SanctuaryMutations.js:L79</t>
        </is>
      </c>
      <c r="E17" s="5" t="inlineStr"/>
      <c r="F17" s="13" t="inlineStr">
        <is>
          <t>LIMBO — no code subscriber (only the DevTools AnuUniverse.interactions.subscribe API)</t>
        </is>
      </c>
      <c r="G17" s="5" t="inlineStr"/>
    </row>
    <row r="18">
      <c r="A18" s="5" t="inlineStr">
        <is>
          <t>LMB-014</t>
        </is>
      </c>
      <c r="B18" s="5" t="inlineStr">
        <is>
          <t>ANU bus event</t>
        </is>
      </c>
      <c r="C18" s="5" t="inlineStr">
        <is>
          <t>SANCTUARY_WORLD_STATE</t>
        </is>
      </c>
      <c r="D18" s="5" t="inlineStr">
        <is>
          <t>js/sanctuary/SanctuaryControls.js:L330; js/sanctuary/SanctuaryControls.js:L349</t>
        </is>
      </c>
      <c r="E18" s="5" t="inlineStr"/>
      <c r="F18" s="13" t="inlineStr">
        <is>
          <t>LIMBO — no code subscriber (only the DevTools AnuUniverse.interactions.subscribe API)</t>
        </is>
      </c>
      <c r="G18" s="5" t="inlineStr"/>
    </row>
    <row r="19">
      <c r="A19" s="5" t="inlineStr">
        <is>
          <t>LMB-015</t>
        </is>
      </c>
      <c r="B19" s="5" t="inlineStr">
        <is>
          <t>ANU bus event</t>
        </is>
      </c>
      <c r="C19" s="5" t="inlineStr">
        <is>
          <t>SCENE_INVENTORY_TICK</t>
        </is>
      </c>
      <c r="D19" s="5" t="inlineStr">
        <is>
          <t>js/v2/anu/SceneModelInventory.js:L365</t>
        </is>
      </c>
      <c r="E19" s="5" t="inlineStr"/>
      <c r="F19" s="13" t="inlineStr">
        <is>
          <t>LIMBO — no code subscriber (only the DevTools AnuUniverse.interactions.subscribe API)</t>
        </is>
      </c>
      <c r="G19" s="5" t="inlineStr"/>
    </row>
    <row r="20">
      <c r="A20" s="5" t="inlineStr">
        <is>
          <t>LMB-016</t>
        </is>
      </c>
      <c r="B20" s="5" t="inlineStr">
        <is>
          <t>ANU bus event</t>
        </is>
      </c>
      <c r="C20" s="5" t="inlineStr">
        <is>
          <t>SEASON_CHANGE</t>
        </is>
      </c>
      <c r="D20" s="5" t="inlineStr">
        <is>
          <t>js/sanctuary/SanctuaryDayNight.js:L121</t>
        </is>
      </c>
      <c r="E20" s="5" t="inlineStr"/>
      <c r="F20" s="13" t="inlineStr">
        <is>
          <t>LIMBO — no code subscriber (only the DevTools AnuUniverse.interactions.subscribe API)</t>
        </is>
      </c>
      <c r="G20" s="5" t="inlineStr"/>
    </row>
    <row r="21">
      <c r="A21" s="5" t="inlineStr">
        <is>
          <t>LMB-017</t>
        </is>
      </c>
      <c r="B21" s="5" t="inlineStr">
        <is>
          <t>ANU bus event</t>
        </is>
      </c>
      <c r="C21" s="5" t="inlineStr">
        <is>
          <t>WORLD_SENSORIUM</t>
        </is>
      </c>
      <c r="D21" s="5" t="inlineStr">
        <is>
          <t>js/v2/AnuModule.js:L454; js/v2/AnuModule.js:L460</t>
        </is>
      </c>
      <c r="E21" s="5" t="inlineStr"/>
      <c r="F21" s="13" t="inlineStr">
        <is>
          <t>LIMBO — no code subscriber (only the DevTools AnuUniverse.interactions.subscribe API)</t>
        </is>
      </c>
      <c r="G21" s="5" t="inlineStr"/>
    </row>
    <row r="22">
      <c r="A22" s="5" t="inlineStr">
        <is>
          <t>LMB-018</t>
        </is>
      </c>
      <c r="B22" s="5" t="inlineStr">
        <is>
          <t>DOM CustomEvent</t>
        </is>
      </c>
      <c r="C22" s="5" t="inlineStr">
        <is>
          <t>anu:weather-change</t>
        </is>
      </c>
      <c r="D22" s="5" t="inlineStr">
        <is>
          <t>js/sanctuary/SanctuaryWeather.js:L139</t>
        </is>
      </c>
      <c r="E22" s="5" t="inlineStr"/>
      <c r="F22" s="13" t="inlineStr">
        <is>
          <t>LIMBO — no receiver in live code</t>
        </is>
      </c>
      <c r="G22" s="5" t="inlineStr"/>
    </row>
    <row r="23">
      <c r="A23" s="5" t="inlineStr">
        <is>
          <t>LMB-019</t>
        </is>
      </c>
      <c r="B23" s="5" t="inlineStr">
        <is>
          <t>DOM id lookup</t>
        </is>
      </c>
      <c r="C23" s="5" t="inlineStr">
        <is>
          <t>axe-3d-target</t>
        </is>
      </c>
      <c r="D23" s="5" t="inlineStr">
        <is>
          <t>js/components/Component.NewJournal.html:L1155</t>
        </is>
      </c>
      <c r="E23" s="5" t="inlineStr"/>
      <c r="F23" s="13" t="inlineStr">
        <is>
          <t>LIMBO — id not created anywhere in live code</t>
        </is>
      </c>
      <c r="G23" s="5" t="inlineStr"/>
    </row>
    <row r="24">
      <c r="A24" s="5" t="inlineStr">
        <is>
          <t>LMB-020</t>
        </is>
      </c>
      <c r="B24" s="5" t="inlineStr">
        <is>
          <t>DOM id lookup</t>
        </is>
      </c>
      <c r="C24" s="5" t="inlineStr">
        <is>
          <t>debug-viewport</t>
        </is>
      </c>
      <c r="D24" s="5" t="inlineStr">
        <is>
          <t>SacredGame.Panel.html:L2673</t>
        </is>
      </c>
      <c r="E24" s="5" t="inlineStr"/>
      <c r="F24" s="13" t="inlineStr">
        <is>
          <t>LIMBO — id not created anywhere in live code</t>
        </is>
      </c>
      <c r="G24" s="5" t="inlineStr"/>
    </row>
    <row r="25">
      <c r="A25" s="5" t="inlineStr">
        <is>
          <t>LMB-021</t>
        </is>
      </c>
      <c r="B25" s="5" t="inlineStr">
        <is>
          <t>DOM id lookup</t>
        </is>
      </c>
      <c r="C25" s="5" t="inlineStr">
        <is>
          <t>journal-frame</t>
        </is>
      </c>
      <c r="D25" s="5" t="inlineStr">
        <is>
          <t>SacredGame.Panel.html:L1960; SacredGame.Journal.html:L334</t>
        </is>
      </c>
      <c r="E25" s="5" t="inlineStr"/>
      <c r="F25" s="13" t="inlineStr">
        <is>
          <t>LIMBO — id not created anywhere in live code</t>
        </is>
      </c>
      <c r="G25" s="5" t="inlineStr"/>
    </row>
    <row r="26">
      <c r="A26" s="5" t="inlineStr">
        <is>
          <t>LMB-022</t>
        </is>
      </c>
      <c r="B26" s="5" t="inlineStr">
        <is>
          <t>DOM id lookup</t>
        </is>
      </c>
      <c r="C26" s="5" t="inlineStr">
        <is>
          <t>logbook-container</t>
        </is>
      </c>
      <c r="D26" s="5" t="inlineStr">
        <is>
          <t>SacredGame.Panel.html:L2824</t>
        </is>
      </c>
      <c r="E26" s="5" t="inlineStr"/>
      <c r="F26" s="13" t="inlineStr">
        <is>
          <t>LIMBO — id not created anywhere in live code</t>
        </is>
      </c>
      <c r="G26" s="5" t="inlineStr"/>
    </row>
    <row r="27">
      <c r="A27" s="5" t="inlineStr">
        <is>
          <t>LMB-023</t>
        </is>
      </c>
      <c r="B27" s="5" t="inlineStr">
        <is>
          <t>DOM id lookup</t>
        </is>
      </c>
      <c r="C27" s="5" t="inlineStr">
        <is>
          <t>tab-</t>
        </is>
      </c>
      <c r="D27" s="5" t="inlineStr">
        <is>
          <t>js/components/Component.NewJournal.html:L768</t>
        </is>
      </c>
      <c r="E27" s="5" t="inlineStr"/>
      <c r="F27" s="13" t="inlineStr">
        <is>
          <t>LIMBO — id not created anywhere in live code</t>
        </is>
      </c>
      <c r="G27" s="5" t="inlineStr"/>
    </row>
    <row r="28">
      <c r="A28" s="5" t="inlineStr">
        <is>
          <t>LMB-024</t>
        </is>
      </c>
      <c r="B28" s="5" t="inlineStr">
        <is>
          <t>DOM id lookup</t>
        </is>
      </c>
      <c r="C28" s="5" t="inlineStr">
        <is>
          <t>v2-hint</t>
        </is>
      </c>
      <c r="D28" s="5" t="inlineStr">
        <is>
          <t>js/v2/UIModule.js:L237; js/v2/UIModule.js:L302</t>
        </is>
      </c>
      <c r="E28" s="5" t="inlineStr"/>
      <c r="F28" s="13" t="inlineStr">
        <is>
          <t>LIMBO — id not created anywhere in live code</t>
        </is>
      </c>
      <c r="G28" s="5" t="inlineStr"/>
    </row>
    <row r="29">
      <c r="A29" s="5" t="inlineStr">
        <is>
          <t>LMB-025</t>
        </is>
      </c>
      <c r="B29" s="5" t="inlineStr">
        <is>
          <t>DOM id lookup</t>
        </is>
      </c>
      <c r="C29" s="5" t="inlineStr">
        <is>
          <t>v2-village-builder</t>
        </is>
      </c>
      <c r="D29" s="5" t="inlineStr">
        <is>
          <t>js/v2/OrchestratorHud.js:L899; js/v2/OrchestratorHud.js:L940</t>
        </is>
      </c>
      <c r="E29" s="5" t="inlineStr"/>
      <c r="F29" s="13" t="inlineStr">
        <is>
          <t>LIMBO — id not created anywhere in live code</t>
        </is>
      </c>
      <c r="G29" s="5" t="inlineStr"/>
    </row>
    <row r="30">
      <c r="A30" s="5" t="inlineStr">
        <is>
          <t>LMB-026</t>
        </is>
      </c>
      <c r="B30" s="5" t="inlineStr">
        <is>
          <t>Runtime service lookup</t>
        </is>
      </c>
      <c r="C30" s="5" t="inlineStr">
        <is>
          <t>WorldPhysics</t>
        </is>
      </c>
      <c r="D30" s="5" t="inlineStr">
        <is>
          <t>js/v2/WorldStructures.js:L822; js/v2/WorldStructures.js:L1281; js/v2/anu/AnuNatureAwareness.js:L235</t>
        </is>
      </c>
      <c r="E30" s="5" t="inlineStr"/>
      <c r="F30" s="13" t="inlineStr">
        <is>
          <t>LIMBO — no receiver in live code</t>
        </is>
      </c>
      <c r="G30" s="5" t="inlineStr"/>
    </row>
    <row r="31">
      <c r="A31" s="5" t="inlineStr">
        <is>
          <t>LMB-027</t>
        </is>
      </c>
      <c r="B31" s="5" t="inlineStr">
        <is>
          <t>postMessage type</t>
        </is>
      </c>
      <c r="C31" s="5" t="inlineStr">
        <is>
          <t>CLOSE_QUEST</t>
        </is>
      </c>
      <c r="D31" s="5" t="inlineStr">
        <is>
          <t>SacredGame.Panel.html:L1888</t>
        </is>
      </c>
      <c r="E31" s="5" t="inlineStr"/>
      <c r="F31" s="13" t="inlineStr">
        <is>
          <t>LIMBO — no receiver in live code</t>
        </is>
      </c>
      <c r="G31" s="5" t="inlineStr">
        <is>
          <t>Receiver may sit in another frame; both frames scanned</t>
        </is>
      </c>
    </row>
    <row r="32">
      <c r="A32" s="5" t="inlineStr">
        <is>
          <t>LMB-028</t>
        </is>
      </c>
      <c r="B32" s="5" t="inlineStr">
        <is>
          <t>postMessage type</t>
        </is>
      </c>
      <c r="C32" s="5" t="inlineStr">
        <is>
          <t>FIND_HER_AUTOWALK</t>
        </is>
      </c>
      <c r="D32" s="5" t="inlineStr">
        <is>
          <t>SacredGame.Panel.html:L2480</t>
        </is>
      </c>
      <c r="E32" s="5" t="inlineStr"/>
      <c r="F32" s="13" t="inlineStr">
        <is>
          <t>LIMBO — no receiver in live code</t>
        </is>
      </c>
      <c r="G32" s="5" t="inlineStr">
        <is>
          <t>Receiver may sit in another frame; both frames scanned</t>
        </is>
      </c>
    </row>
    <row r="33">
      <c r="A33" s="5" t="inlineStr">
        <is>
          <t>LMB-029</t>
        </is>
      </c>
      <c r="B33" s="5" t="inlineStr">
        <is>
          <t>postMessage type</t>
        </is>
      </c>
      <c r="C33" s="5" t="inlineStr">
        <is>
          <t>GATHER_ACTION</t>
        </is>
      </c>
      <c r="D33" s="5" t="inlineStr">
        <is>
          <t>SacredGame.Panel.html:L2546</t>
        </is>
      </c>
      <c r="E33" s="5" t="inlineStr"/>
      <c r="F33" s="13" t="inlineStr">
        <is>
          <t>LIMBO — no receiver in live code</t>
        </is>
      </c>
      <c r="G33" s="5" t="inlineStr">
        <is>
          <t>Receiver may sit in another frame; both frames scanned</t>
        </is>
      </c>
    </row>
    <row r="34">
      <c r="A34" s="5" t="inlineStr">
        <is>
          <t>LMB-030</t>
        </is>
      </c>
      <c r="B34" s="5" t="inlineStr">
        <is>
          <t>postMessage type</t>
        </is>
      </c>
      <c r="C34" s="5" t="inlineStr">
        <is>
          <t>JOURNAL_GREET_BHG</t>
        </is>
      </c>
      <c r="D34" s="5" t="inlineStr">
        <is>
          <t>js/components/Component.NewJournal.html:L1036</t>
        </is>
      </c>
      <c r="E34" s="5" t="inlineStr"/>
      <c r="F34" s="13" t="inlineStr">
        <is>
          <t>LIMBO — no receiver in live code</t>
        </is>
      </c>
      <c r="G34" s="5" t="inlineStr">
        <is>
          <t>Receiver may sit in another frame; both frames scanned</t>
        </is>
      </c>
    </row>
    <row r="35">
      <c r="A35" s="5" t="inlineStr">
        <is>
          <t>LMB-031</t>
        </is>
      </c>
      <c r="B35" s="5" t="inlineStr">
        <is>
          <t>postMessage type</t>
        </is>
      </c>
      <c r="C35" s="5" t="inlineStr">
        <is>
          <t>JOURNAL_START_GAME_INTRO</t>
        </is>
      </c>
      <c r="D35" s="5" t="inlineStr">
        <is>
          <t>js/components/Component.NewJournal.html:L909</t>
        </is>
      </c>
      <c r="E35" s="5" t="inlineStr"/>
      <c r="F35" s="13" t="inlineStr">
        <is>
          <t>LIMBO — no receiver in live code</t>
        </is>
      </c>
      <c r="G35" s="5" t="inlineStr">
        <is>
          <t>Receiver may sit in another frame; both frames scanned</t>
        </is>
      </c>
    </row>
    <row r="36">
      <c r="A36" s="5" t="inlineStr">
        <is>
          <t>LMB-032</t>
        </is>
      </c>
      <c r="B36" s="5" t="inlineStr">
        <is>
          <t>postMessage type</t>
        </is>
      </c>
      <c r="C36" s="5" t="inlineStr">
        <is>
          <t>LOADING_MODAL_ERROR</t>
        </is>
      </c>
      <c r="D36" s="5" t="inlineStr">
        <is>
          <t>js/components/Component.LoadingModal.html:L486</t>
        </is>
      </c>
      <c r="E36" s="5" t="inlineStr"/>
      <c r="F36" s="13" t="inlineStr">
        <is>
          <t>LIMBO — no receiver in live code</t>
        </is>
      </c>
      <c r="G36" s="5" t="inlineStr">
        <is>
          <t>Receiver may sit in another frame; both frames scanned</t>
        </is>
      </c>
    </row>
    <row r="37">
      <c r="A37" s="5" t="inlineStr">
        <is>
          <t>LMB-033</t>
        </is>
      </c>
      <c r="B37" s="5" t="inlineStr">
        <is>
          <t>postMessage type</t>
        </is>
      </c>
      <c r="C37" s="5" t="inlineStr">
        <is>
          <t>OBSERVE_WILDLIFE_ACTION</t>
        </is>
      </c>
      <c r="D37" s="5" t="inlineStr">
        <is>
          <t>SacredGame.Panel.html:L2559</t>
        </is>
      </c>
      <c r="E37" s="5" t="inlineStr"/>
      <c r="F37" s="13" t="inlineStr">
        <is>
          <t>LIMBO — no receiver in live code</t>
        </is>
      </c>
      <c r="G37" s="5" t="inlineStr">
        <is>
          <t>Receiver may sit in another frame; both frames scanned</t>
        </is>
      </c>
    </row>
    <row r="38">
      <c r="A38" s="5" t="inlineStr">
        <is>
          <t>LMB-034</t>
        </is>
      </c>
      <c r="B38" s="5" t="inlineStr">
        <is>
          <t>postMessage type</t>
        </is>
      </c>
      <c r="C38" s="5" t="inlineStr">
        <is>
          <t>PROCESS_INPUT</t>
        </is>
      </c>
      <c r="D38" s="5" t="inlineStr">
        <is>
          <t>js/components/Component.NewJournal.html:L970</t>
        </is>
      </c>
      <c r="E38" s="5" t="inlineStr"/>
      <c r="F38" s="13" t="inlineStr">
        <is>
          <t>LIMBO — no receiver in live code</t>
        </is>
      </c>
      <c r="G38" s="5" t="inlineStr">
        <is>
          <t>Receiver may sit in another frame; both frames scanned</t>
        </is>
      </c>
    </row>
    <row r="39">
      <c r="A39" s="5" t="inlineStr">
        <is>
          <t>LMB-035</t>
        </is>
      </c>
      <c r="B39" s="5" t="inlineStr">
        <is>
          <t>postMessage type</t>
        </is>
      </c>
      <c r="C39" s="5" t="inlineStr">
        <is>
          <t>REQ_ALIGN_SELFIE</t>
        </is>
      </c>
      <c r="D39" s="5" t="inlineStr">
        <is>
          <t>js/components/Component.NewJournal.html:L1188</t>
        </is>
      </c>
      <c r="E39" s="5" t="inlineStr"/>
      <c r="F39" s="13" t="inlineStr">
        <is>
          <t>LIMBO — no receiver in live code</t>
        </is>
      </c>
      <c r="G39" s="5" t="inlineStr">
        <is>
          <t>Receiver may sit in another frame; both frames scanned</t>
        </is>
      </c>
    </row>
    <row r="40">
      <c r="A40" s="5" t="inlineStr">
        <is>
          <t>LMB-036</t>
        </is>
      </c>
      <c r="B40" s="5" t="inlineStr">
        <is>
          <t>postMessage type</t>
        </is>
      </c>
      <c r="C40" s="5" t="inlineStr">
        <is>
          <t>REQ_HIDE_SELFIE</t>
        </is>
      </c>
      <c r="D40" s="5" t="inlineStr">
        <is>
          <t>js/components/Component.NewJournal.html:L649; js/components/Component.NewJournal.html:L1172; js/components/Component.NewJournal.html:L1190</t>
        </is>
      </c>
      <c r="E40" s="5" t="inlineStr"/>
      <c r="F40" s="13" t="inlineStr">
        <is>
          <t>LIMBO — no receiver in live code</t>
        </is>
      </c>
      <c r="G40" s="5" t="inlineStr">
        <is>
          <t>Receiver may sit in another frame; both frames scanned</t>
        </is>
      </c>
    </row>
    <row r="41">
      <c r="A41" s="5" t="inlineStr">
        <is>
          <t>LMB-037</t>
        </is>
      </c>
      <c r="B41" s="5" t="inlineStr">
        <is>
          <t>postMessage type</t>
        </is>
      </c>
      <c r="C41" s="5" t="inlineStr">
        <is>
          <t>REQ_WORLD_RECONFIG</t>
        </is>
      </c>
      <c r="D41" s="5" t="inlineStr">
        <is>
          <t>SacredGame.Panel.html:L1614</t>
        </is>
      </c>
      <c r="E41" s="5" t="inlineStr"/>
      <c r="F41" s="13" t="inlineStr">
        <is>
          <t>LIMBO — no receiver in live code</t>
        </is>
      </c>
      <c r="G41" s="5" t="inlineStr">
        <is>
          <t>Receiver may sit in another frame; both frames scanned</t>
        </is>
      </c>
    </row>
    <row r="42">
      <c r="A42" s="5" t="inlineStr">
        <is>
          <t>LMB-038</t>
        </is>
      </c>
      <c r="B42" s="5" t="inlineStr">
        <is>
          <t>postMessage type</t>
        </is>
      </c>
      <c r="C42" s="5" t="inlineStr">
        <is>
          <t>RESTORE_STATE</t>
        </is>
      </c>
      <c r="D42" s="5" t="inlineStr">
        <is>
          <t>js/components/Component.NewJournal.html:L696</t>
        </is>
      </c>
      <c r="E42" s="5" t="inlineStr"/>
      <c r="F42" s="13" t="inlineStr">
        <is>
          <t>LIMBO — no receiver in live code</t>
        </is>
      </c>
      <c r="G42" s="5" t="inlineStr">
        <is>
          <t>Receiver may sit in another frame; both frames scanned</t>
        </is>
      </c>
    </row>
    <row r="43">
      <c r="A43" s="5" t="inlineStr">
        <is>
          <t>LMB-039</t>
        </is>
      </c>
      <c r="B43" s="5" t="inlineStr">
        <is>
          <t>postMessage type</t>
        </is>
      </c>
      <c r="C43" s="5" t="inlineStr">
        <is>
          <t>SEEK_ENTITY</t>
        </is>
      </c>
      <c r="D43" s="5" t="inlineStr">
        <is>
          <t>SacredGame.Panel.html:L2859</t>
        </is>
      </c>
      <c r="E43" s="5" t="inlineStr"/>
      <c r="F43" s="13" t="inlineStr">
        <is>
          <t>LIMBO — no receiver in live code</t>
        </is>
      </c>
      <c r="G43" s="5" t="inlineStr">
        <is>
          <t>Receiver may sit in another frame; both frames scanned</t>
        </is>
      </c>
    </row>
    <row r="44">
      <c r="A44" s="5" t="inlineStr">
        <is>
          <t>LMB-040</t>
        </is>
      </c>
      <c r="B44" s="5" t="inlineStr">
        <is>
          <t>window.* function call</t>
        </is>
      </c>
      <c r="C44" s="5" t="inlineStr">
        <is>
          <t>ThreeIconManager</t>
        </is>
      </c>
      <c r="D44" s="5" t="inlineStr">
        <is>
          <t>SacredGame.Panel.html:L1900</t>
        </is>
      </c>
      <c r="E44" s="5" t="inlineStr"/>
      <c r="F44" s="13" t="inlineStr">
        <is>
          <t>LIMBO — never assigned in live code</t>
        </is>
      </c>
      <c r="G44" s="5" t="inlineStr"/>
    </row>
    <row r="45">
      <c r="A45" s="5" t="inlineStr">
        <is>
          <t>LMB-041</t>
        </is>
      </c>
      <c r="B45" s="5" t="inlineStr">
        <is>
          <t>window.* function call</t>
        </is>
      </c>
      <c r="C45" s="5" t="inlineStr">
        <is>
          <t>__regeneratePoolObjects</t>
        </is>
      </c>
      <c r="D45" s="5" t="inlineStr">
        <is>
          <t>js/sanctuary/SanctuaryToolPalette.js:L443</t>
        </is>
      </c>
      <c r="E45" s="5" t="inlineStr"/>
      <c r="F45" s="13" t="inlineStr">
        <is>
          <t>LIMBO — never assigned in live code</t>
        </is>
      </c>
      <c r="G45" s="5" t="inlineStr"/>
    </row>
    <row r="46">
      <c r="A46" s="5" t="inlineStr">
        <is>
          <t>LMB-042</t>
        </is>
      </c>
      <c r="B46" s="5" t="inlineStr">
        <is>
          <t>window.* function call</t>
        </is>
      </c>
      <c r="C46" s="5" t="inlineStr">
        <is>
          <t>__regenerateTerrain</t>
        </is>
      </c>
      <c r="D46" s="5" t="inlineStr">
        <is>
          <t>js/sanctuary/SanctuaryToolPalette.js:L423</t>
        </is>
      </c>
      <c r="E46" s="5" t="inlineStr"/>
      <c r="F46" s="13" t="inlineStr">
        <is>
          <t>LIMBO — never assigned in live code</t>
        </is>
      </c>
      <c r="G46" s="5" t="inlineStr"/>
    </row>
    <row r="47">
      <c r="A47" s="5" t="inlineStr">
        <is>
          <t>LMB-043</t>
        </is>
      </c>
      <c r="B47" s="5" t="inlineStr">
        <is>
          <t>window.* function call</t>
        </is>
      </c>
      <c r="C47" s="5" t="inlineStr">
        <is>
          <t>_v4TogglePip</t>
        </is>
      </c>
      <c r="D47" s="5" t="inlineStr">
        <is>
          <t>index.html:L801</t>
        </is>
      </c>
      <c r="E47" s="5" t="inlineStr"/>
      <c r="F47" s="13" t="inlineStr">
        <is>
          <t>LIMBO — never assigned in live code</t>
        </is>
      </c>
      <c r="G47" s="5" t="inlineStr"/>
    </row>
    <row r="48">
      <c r="A48" s="5" t="inlineStr">
        <is>
          <t>LMB-044</t>
        </is>
      </c>
      <c r="B48" s="5" t="inlineStr">
        <is>
          <t>DOM id lookup</t>
        </is>
      </c>
      <c r="C48" s="5" t="inlineStr">
        <is>
          <t>__boot_err</t>
        </is>
      </c>
      <c r="D48" s="5" t="inlineStr">
        <is>
          <t>index.html:L36</t>
        </is>
      </c>
      <c r="E48" s="5" t="inlineStr">
        <is>
          <t>index.html:L38; index.html:L38</t>
        </is>
      </c>
      <c r="F48" s="5" t="inlineStr">
        <is>
          <t>Has receiver</t>
        </is>
      </c>
      <c r="G48" s="5" t="inlineStr"/>
    </row>
    <row r="49">
      <c r="A49" s="5" t="inlineStr">
        <is>
          <t>LMB-045</t>
        </is>
      </c>
      <c r="B49" s="5" t="inlineStr">
        <is>
          <t>DOM id lookup</t>
        </is>
      </c>
      <c r="C49" s="5" t="inlineStr">
        <is>
          <t>__boot_err_text</t>
        </is>
      </c>
      <c r="D49" s="5" t="inlineStr">
        <is>
          <t>index.html:L62</t>
        </is>
      </c>
      <c r="E49" s="5" t="inlineStr">
        <is>
          <t>index.html:L55; index.html:L55</t>
        </is>
      </c>
      <c r="F49" s="5" t="inlineStr">
        <is>
          <t>Has receiver</t>
        </is>
      </c>
      <c r="G49" s="5" t="inlineStr"/>
    </row>
    <row r="50">
      <c r="A50" s="5" t="inlineStr">
        <is>
          <t>LMB-046</t>
        </is>
      </c>
      <c r="B50" s="5" t="inlineStr">
        <is>
          <t>DOM id lookup</t>
        </is>
      </c>
      <c r="C50" s="5" t="inlineStr">
        <is>
          <t>action-log</t>
        </is>
      </c>
      <c r="D50" s="5" t="inlineStr">
        <is>
          <t>SacredGame.Panel.html:L2796</t>
        </is>
      </c>
      <c r="E50" s="5" t="inlineStr">
        <is>
          <t>SacredGame.Panel.html:L1796</t>
        </is>
      </c>
      <c r="F50" s="5" t="inlineStr">
        <is>
          <t>Has receiver</t>
        </is>
      </c>
      <c r="G50" s="5" t="inlineStr"/>
    </row>
    <row r="51">
      <c r="A51" s="5" t="inlineStr">
        <is>
          <t>LMB-047</t>
        </is>
      </c>
      <c r="B51" s="5" t="inlineStr">
        <is>
          <t>DOM id lookup</t>
        </is>
      </c>
      <c r="C51" s="5" t="inlineStr">
        <is>
          <t>action-zone</t>
        </is>
      </c>
      <c r="D51" s="5" t="inlineStr">
        <is>
          <t>SacredGame.Panel.html:L2579; SacredGame.Panel.html:L2594; SacredGame.Panel.html:L2604; SacredGame.Panel.html:L2648; SacredGame.Panel.html:L2707</t>
        </is>
      </c>
      <c r="E51" s="5" t="inlineStr">
        <is>
          <t>SacredGame.Panel.html:L1664</t>
        </is>
      </c>
      <c r="F51" s="5" t="inlineStr">
        <is>
          <t>Has receiver</t>
        </is>
      </c>
      <c r="G51" s="5" t="inlineStr"/>
    </row>
    <row r="52">
      <c r="A52" s="5" t="inlineStr">
        <is>
          <t>LMB-048</t>
        </is>
      </c>
      <c r="B52" s="5" t="inlineStr">
        <is>
          <t>DOM id lookup</t>
        </is>
      </c>
      <c r="C52" s="5" t="inlineStr">
        <is>
          <t>adventure-row-top</t>
        </is>
      </c>
      <c r="D52" s="5" t="inlineStr">
        <is>
          <t>SacredGame.Panel.html:L2116</t>
        </is>
      </c>
      <c r="E52" s="5" t="inlineStr">
        <is>
          <t>SacredGame.Panel.html:L1749</t>
        </is>
      </c>
      <c r="F52" s="5" t="inlineStr">
        <is>
          <t>Has receiver</t>
        </is>
      </c>
      <c r="G52" s="5" t="inlineStr"/>
    </row>
    <row r="53">
      <c r="A53" s="5" t="inlineStr">
        <is>
          <t>LMB-049</t>
        </is>
      </c>
      <c r="B53" s="5" t="inlineStr">
        <is>
          <t>DOM id lookup</t>
        </is>
      </c>
      <c r="C53" s="5" t="inlineStr">
        <is>
          <t>aria-announcer</t>
        </is>
      </c>
      <c r="D53" s="5" t="inlineStr">
        <is>
          <t>SacredGame.Panel.html:L2290</t>
        </is>
      </c>
      <c r="E53" s="5" t="inlineStr">
        <is>
          <t>SacredGame.Panel.html:L1621</t>
        </is>
      </c>
      <c r="F53" s="5" t="inlineStr">
        <is>
          <t>Has receiver</t>
        </is>
      </c>
      <c r="G53" s="5" t="inlineStr"/>
    </row>
    <row r="54">
      <c r="A54" s="5" t="inlineStr">
        <is>
          <t>LMB-050</t>
        </is>
      </c>
      <c r="B54" s="5" t="inlineStr">
        <is>
          <t>DOM id lookup</t>
        </is>
      </c>
      <c r="C54" s="5" t="inlineStr">
        <is>
          <t>aria-live-narrator</t>
        </is>
      </c>
      <c r="D54" s="5" t="inlineStr">
        <is>
          <t>SacredGame.Panel.html:L2817</t>
        </is>
      </c>
      <c r="E54" s="5" t="inlineStr">
        <is>
          <t>SacredGame.Panel.html:L1800</t>
        </is>
      </c>
      <c r="F54" s="5" t="inlineStr">
        <is>
          <t>Has receiver</t>
        </is>
      </c>
      <c r="G54" s="5" t="inlineStr"/>
    </row>
    <row r="55">
      <c r="A55" s="5" t="inlineStr">
        <is>
          <t>LMB-051</t>
        </is>
      </c>
      <c r="B55" s="5" t="inlineStr">
        <is>
          <t>DOM id lookup</t>
        </is>
      </c>
      <c r="C55" s="5" t="inlineStr">
        <is>
          <t>avatar-static-fallback</t>
        </is>
      </c>
      <c r="D55" s="5" t="inlineStr">
        <is>
          <t>SacredGame.Panel.html:L1921</t>
        </is>
      </c>
      <c r="E55" s="5" t="inlineStr">
        <is>
          <t>SacredGame.Panel.html:L1674</t>
        </is>
      </c>
      <c r="F55" s="5" t="inlineStr">
        <is>
          <t>Has receiver</t>
        </is>
      </c>
      <c r="G55" s="5" t="inlineStr"/>
    </row>
    <row r="56">
      <c r="A56" s="5" t="inlineStr">
        <is>
          <t>LMB-052</t>
        </is>
      </c>
      <c r="B56" s="5" t="inlineStr">
        <is>
          <t>DOM id lookup</t>
        </is>
      </c>
      <c r="C56" s="5" t="inlineStr">
        <is>
          <t>bar-logic</t>
        </is>
      </c>
      <c r="D56" s="5" t="inlineStr">
        <is>
          <t>js/components/Component.LoadingModal.html:L532; js/components/Component.LoadingModal.html:L560; js/components/Component.LoadingModal.html:L594</t>
        </is>
      </c>
      <c r="E56" s="5" t="inlineStr">
        <is>
          <t>js/components/Component.LoadingModal.html:L250</t>
        </is>
      </c>
      <c r="F56" s="5" t="inlineStr">
        <is>
          <t>Has receiver</t>
        </is>
      </c>
      <c r="G56" s="5" t="inlineStr"/>
    </row>
    <row r="57">
      <c r="A57" s="5" t="inlineStr">
        <is>
          <t>LMB-053</t>
        </is>
      </c>
      <c r="B57" s="5" t="inlineStr">
        <is>
          <t>DOM id lookup</t>
        </is>
      </c>
      <c r="C57" s="5" t="inlineStr">
        <is>
          <t>book-drag-handle</t>
        </is>
      </c>
      <c r="D57" s="5" t="inlineStr">
        <is>
          <t>SacredGame.Journal.html:L275</t>
        </is>
      </c>
      <c r="E57" s="5" t="inlineStr">
        <is>
          <t>SacredGame.Journal.html:L203</t>
        </is>
      </c>
      <c r="F57" s="5" t="inlineStr">
        <is>
          <t>Has receiver</t>
        </is>
      </c>
      <c r="G57" s="5" t="inlineStr"/>
    </row>
    <row r="58">
      <c r="A58" s="5" t="inlineStr">
        <is>
          <t>LMB-054</t>
        </is>
      </c>
      <c r="B58" s="5" t="inlineStr">
        <is>
          <t>DOM id lookup</t>
        </is>
      </c>
      <c r="C58" s="5" t="inlineStr">
        <is>
          <t>book-resize-handle</t>
        </is>
      </c>
      <c r="D58" s="5" t="inlineStr">
        <is>
          <t>SacredGame.Journal.html:L276</t>
        </is>
      </c>
      <c r="E58" s="5" t="inlineStr">
        <is>
          <t>SacredGame.Journal.html:L204</t>
        </is>
      </c>
      <c r="F58" s="5" t="inlineStr">
        <is>
          <t>Has receiver</t>
        </is>
      </c>
      <c r="G58" s="5" t="inlineStr"/>
    </row>
    <row r="59">
      <c r="A59" s="5" t="inlineStr">
        <is>
          <t>LMB-055</t>
        </is>
      </c>
      <c r="B59" s="5" t="inlineStr">
        <is>
          <t>DOM id lookup</t>
        </is>
      </c>
      <c r="C59" s="5" t="inlineStr">
        <is>
          <t>book-wrapper</t>
        </is>
      </c>
      <c r="D59" s="5" t="inlineStr">
        <is>
          <t>SacredGame.Panel.html:L2315; SacredGame.Journal.html:L274; SacredGame.Journal.html:L340; SacredGame.Journal.html:L382; SacredGame.Journal.html:L391; SacredGame.Journal.html:L431; SacredGame.Journal.html:L447; SacredGame.Journal.html:L456; SacredGame.Journal.html:L465; SacredGame.Journal.html:L475; SacredGame.Journal.html:L485; SacredGame.Journal.html:L516; SacredGame.Journal.html:L559; SacredGame.Journal.html:L586; SacredGame.Journal.html:L612</t>
        </is>
      </c>
      <c r="E59" s="5" t="inlineStr">
        <is>
          <t>SacredGame.Journal.html:L202</t>
        </is>
      </c>
      <c r="F59" s="5" t="inlineStr">
        <is>
          <t>Has receiver</t>
        </is>
      </c>
      <c r="G59" s="5" t="inlineStr"/>
    </row>
    <row r="60">
      <c r="A60" s="5" t="inlineStr">
        <is>
          <t>LMB-056</t>
        </is>
      </c>
      <c r="B60" s="5" t="inlineStr">
        <is>
          <t>DOM id lookup</t>
        </is>
      </c>
      <c r="C60" s="5" t="inlineStr">
        <is>
          <t>btn-items</t>
        </is>
      </c>
      <c r="D60" s="5" t="inlineStr">
        <is>
          <t>SacredGame.Panel.html:L2516</t>
        </is>
      </c>
      <c r="E60" s="5" t="inlineStr">
        <is>
          <t>SacredGame.Panel.html:L1680</t>
        </is>
      </c>
      <c r="F60" s="5" t="inlineStr">
        <is>
          <t>Has receiver</t>
        </is>
      </c>
      <c r="G60" s="5" t="inlineStr"/>
    </row>
    <row r="61">
      <c r="A61" s="5" t="inlineStr">
        <is>
          <t>LMB-057</t>
        </is>
      </c>
      <c r="B61" s="5" t="inlineStr">
        <is>
          <t>DOM id lookup</t>
        </is>
      </c>
      <c r="C61" s="5" t="inlineStr">
        <is>
          <t>btn-journal</t>
        </is>
      </c>
      <c r="D61" s="5" t="inlineStr">
        <is>
          <t>SacredGame.Panel.html:L2099; SacredGame.Panel.html:L2110</t>
        </is>
      </c>
      <c r="E61" s="5" t="inlineStr">
        <is>
          <t>SacredGame.Panel.html:L1685</t>
        </is>
      </c>
      <c r="F61" s="5" t="inlineStr">
        <is>
          <t>Has receiver</t>
        </is>
      </c>
      <c r="G61" s="5" t="inlineStr"/>
    </row>
    <row r="62">
      <c r="A62" s="5" t="inlineStr">
        <is>
          <t>LMB-058</t>
        </is>
      </c>
      <c r="B62" s="5" t="inlineStr">
        <is>
          <t>DOM id lookup</t>
        </is>
      </c>
      <c r="C62" s="5" t="inlineStr">
        <is>
          <t>build-badge</t>
        </is>
      </c>
      <c r="D62" s="5" t="inlineStr">
        <is>
          <t>js/BuildBadge.js:L59</t>
        </is>
      </c>
      <c r="E62" s="5" t="inlineStr">
        <is>
          <t>js/BuildBadge.js:L62; js/BuildBadge.js:L62</t>
        </is>
      </c>
      <c r="F62" s="5" t="inlineStr">
        <is>
          <t>Has receiver</t>
        </is>
      </c>
      <c r="G62" s="5" t="inlineStr"/>
    </row>
    <row r="63">
      <c r="A63" s="5" t="inlineStr">
        <is>
          <t>LMB-059</t>
        </is>
      </c>
      <c r="B63" s="5" t="inlineStr">
        <is>
          <t>DOM id lookup</t>
        </is>
      </c>
      <c r="C63" s="5" t="inlineStr">
        <is>
          <t>build-badge-copy</t>
        </is>
      </c>
      <c r="D63" s="5" t="inlineStr">
        <is>
          <t>js/BuildBadge.js:L136</t>
        </is>
      </c>
      <c r="E63" s="5" t="inlineStr">
        <is>
          <t>js/BuildBadge.js:L134</t>
        </is>
      </c>
      <c r="F63" s="5" t="inlineStr">
        <is>
          <t>Has receiver</t>
        </is>
      </c>
      <c r="G63" s="5" t="inlineStr"/>
    </row>
    <row r="64">
      <c r="A64" s="5" t="inlineStr">
        <is>
          <t>LMB-060</t>
        </is>
      </c>
      <c r="B64" s="5" t="inlineStr">
        <is>
          <t>DOM id lookup</t>
        </is>
      </c>
      <c r="C64" s="5" t="inlineStr">
        <is>
          <t>card-fish-btn</t>
        </is>
      </c>
      <c r="D64" s="5" t="inlineStr">
        <is>
          <t>SacredGame.Panel.html:L2554</t>
        </is>
      </c>
      <c r="E64" s="5" t="inlineStr">
        <is>
          <t>SacredGame.Panel.html:L1771</t>
        </is>
      </c>
      <c r="F64" s="5" t="inlineStr">
        <is>
          <t>Has receiver</t>
        </is>
      </c>
      <c r="G64" s="5" t="inlineStr"/>
    </row>
    <row r="65">
      <c r="A65" s="5" t="inlineStr">
        <is>
          <t>LMB-061</t>
        </is>
      </c>
      <c r="B65" s="5" t="inlineStr">
        <is>
          <t>DOM id lookup</t>
        </is>
      </c>
      <c r="C65" s="5" t="inlineStr">
        <is>
          <t>card-gather-btn</t>
        </is>
      </c>
      <c r="D65" s="5" t="inlineStr">
        <is>
          <t>SacredGame.Panel.html:L2548</t>
        </is>
      </c>
      <c r="E65" s="5" t="inlineStr">
        <is>
          <t>SacredGame.Panel.html:L1765</t>
        </is>
      </c>
      <c r="F65" s="5" t="inlineStr">
        <is>
          <t>Has receiver</t>
        </is>
      </c>
      <c r="G65" s="5" t="inlineStr"/>
    </row>
    <row r="66">
      <c r="A66" s="5" t="inlineStr">
        <is>
          <t>LMB-062</t>
        </is>
      </c>
      <c r="B66" s="5" t="inlineStr">
        <is>
          <t>DOM id lookup</t>
        </is>
      </c>
      <c r="C66" s="5" t="inlineStr">
        <is>
          <t>card-log-btn</t>
        </is>
      </c>
      <c r="D66" s="5" t="inlineStr">
        <is>
          <t>SacredGame.Panel.html:L2098; SacredGame.Panel.html:L2109</t>
        </is>
      </c>
      <c r="E66" s="5" t="inlineStr">
        <is>
          <t>SacredGame.Panel.html:L1783</t>
        </is>
      </c>
      <c r="F66" s="5" t="inlineStr">
        <is>
          <t>Has receiver</t>
        </is>
      </c>
      <c r="G66" s="5" t="inlineStr"/>
    </row>
    <row r="67">
      <c r="A67" s="5" t="inlineStr">
        <is>
          <t>LMB-063</t>
        </is>
      </c>
      <c r="B67" s="5" t="inlineStr">
        <is>
          <t>DOM id lookup</t>
        </is>
      </c>
      <c r="C67" s="5" t="inlineStr">
        <is>
          <t>card-quest-btn</t>
        </is>
      </c>
      <c r="D67" s="5" t="inlineStr">
        <is>
          <t>SacredGame.Panel.html:L2124; SacredGame.Panel.html:L2198; SacredGame.Panel.html:L2252; SacredGame.Panel.html:L2483; SacredGame.Panel.html:L2505; SacredGame.Panel.html:L2512; SacredGame.Panel.html:L2539</t>
        </is>
      </c>
      <c r="E67" s="5" t="inlineStr">
        <is>
          <t>SacredGame.Panel.html:L1756</t>
        </is>
      </c>
      <c r="F67" s="5" t="inlineStr">
        <is>
          <t>Has receiver</t>
        </is>
      </c>
      <c r="G67" s="5" t="inlineStr"/>
    </row>
    <row r="68">
      <c r="A68" s="5" t="inlineStr">
        <is>
          <t>LMB-064</t>
        </is>
      </c>
      <c r="B68" s="5" t="inlineStr">
        <is>
          <t>DOM id lookup</t>
        </is>
      </c>
      <c r="C68" s="5" t="inlineStr">
        <is>
          <t>card-search-btn</t>
        </is>
      </c>
      <c r="D68" s="5" t="inlineStr">
        <is>
          <t>SacredGame.Panel.html:L2205; SacredGame.Panel.html:L2560</t>
        </is>
      </c>
      <c r="E68" s="5" t="inlineStr">
        <is>
          <t>SacredGame.Panel.html:L1777</t>
        </is>
      </c>
      <c r="F68" s="5" t="inlineStr">
        <is>
          <t>Has receiver</t>
        </is>
      </c>
      <c r="G68" s="5" t="inlineStr"/>
    </row>
    <row r="69">
      <c r="A69" s="5" t="inlineStr">
        <is>
          <t>LMB-065</t>
        </is>
      </c>
      <c r="B69" s="5" t="inlineStr">
        <is>
          <t>DOM id lookup</t>
        </is>
      </c>
      <c r="C69" s="5" t="inlineStr">
        <is>
          <t>center-stack</t>
        </is>
      </c>
      <c r="D69" s="5" t="inlineStr">
        <is>
          <t>SacredGame.Panel.html:L2313</t>
        </is>
      </c>
      <c r="E69" s="5" t="inlineStr">
        <is>
          <t>SacredGame.Panel.html:L1747</t>
        </is>
      </c>
      <c r="F69" s="5" t="inlineStr">
        <is>
          <t>Has receiver</t>
        </is>
      </c>
      <c r="G69" s="5" t="inlineStr"/>
    </row>
    <row r="70">
      <c r="A70" s="5" t="inlineStr">
        <is>
          <t>LMB-066</t>
        </is>
      </c>
      <c r="B70" s="5" t="inlineStr">
        <is>
          <t>DOM id lookup</t>
        </is>
      </c>
      <c r="C70" s="5" t="inlineStr">
        <is>
          <t>desc-quest</t>
        </is>
      </c>
      <c r="D70" s="5" t="inlineStr">
        <is>
          <t>SacredGame.Panel.html:L2484; SacredGame.Panel.html:L2506</t>
        </is>
      </c>
      <c r="E70" s="5" t="inlineStr">
        <is>
          <t>SacredGame.Panel.html:L1761</t>
        </is>
      </c>
      <c r="F70" s="5" t="inlineStr">
        <is>
          <t>Has receiver</t>
        </is>
      </c>
      <c r="G70" s="5" t="inlineStr"/>
    </row>
    <row r="71">
      <c r="A71" s="5" t="inlineStr">
        <is>
          <t>LMB-067</t>
        </is>
      </c>
      <c r="B71" s="5" t="inlineStr">
        <is>
          <t>DOM id lookup</t>
        </is>
      </c>
      <c r="C71" s="5" t="inlineStr">
        <is>
          <t>dynamic-font-override</t>
        </is>
      </c>
      <c r="D71" s="5" t="inlineStr">
        <is>
          <t>js/components/Component.NewJournal.html:L686</t>
        </is>
      </c>
      <c r="E71" s="5" t="inlineStr">
        <is>
          <t>js/components/Component.NewJournal.html:L689; js/components/Component.NewJournal.html:L689</t>
        </is>
      </c>
      <c r="F71" s="5" t="inlineStr">
        <is>
          <t>Has receiver</t>
        </is>
      </c>
      <c r="G71" s="5" t="inlineStr"/>
    </row>
    <row r="72">
      <c r="A72" s="5" t="inlineStr">
        <is>
          <t>LMB-068</t>
        </is>
      </c>
      <c r="B72" s="5" t="inlineStr">
        <is>
          <t>DOM id lookup</t>
        </is>
      </c>
      <c r="C72" s="5" t="inlineStr">
        <is>
          <t>event-log</t>
        </is>
      </c>
      <c r="D72" s="5" t="inlineStr">
        <is>
          <t>SacredGame.Panel.html:L2282; SacredGame.Panel.html:L2433</t>
        </is>
      </c>
      <c r="E72" s="5" t="inlineStr">
        <is>
          <t>SacredGame.Panel.html:L1879</t>
        </is>
      </c>
      <c r="F72" s="5" t="inlineStr">
        <is>
          <t>Has receiver</t>
        </is>
      </c>
      <c r="G72" s="5" t="inlineStr"/>
    </row>
    <row r="73">
      <c r="A73" s="5" t="inlineStr">
        <is>
          <t>LMB-069</t>
        </is>
      </c>
      <c r="B73" s="5" t="inlineStr">
        <is>
          <t>DOM id lookup</t>
        </is>
      </c>
      <c r="C73" s="5" t="inlineStr">
        <is>
          <t>font-size-display</t>
        </is>
      </c>
      <c r="D73" s="5" t="inlineStr">
        <is>
          <t>js/components/Component.NewJournal.html:L676</t>
        </is>
      </c>
      <c r="E73" s="5" t="inlineStr">
        <is>
          <t>js/components/Component.NewJournal.html:L573</t>
        </is>
      </c>
      <c r="F73" s="5" t="inlineStr">
        <is>
          <t>Has receiver</t>
        </is>
      </c>
      <c r="G73" s="5" t="inlineStr"/>
    </row>
    <row r="74">
      <c r="A74" s="5" t="inlineStr">
        <is>
          <t>LMB-070</t>
        </is>
      </c>
      <c r="B74" s="5" t="inlineStr">
        <is>
          <t>DOM id lookup</t>
        </is>
      </c>
      <c r="C74" s="5" t="inlineStr">
        <is>
          <t>guides-container</t>
        </is>
      </c>
      <c r="D74" s="5" t="inlineStr">
        <is>
          <t>SacredGame.Panel.html:L1945; SacredGame.Panel.html:L2096; SacredGame.Panel.html:L2107</t>
        </is>
      </c>
      <c r="E74" s="5" t="inlineStr">
        <is>
          <t>SacredGame.Panel.html:L1754</t>
        </is>
      </c>
      <c r="F74" s="5" t="inlineStr">
        <is>
          <t>Has receiver</t>
        </is>
      </c>
      <c r="G74" s="5" t="inlineStr"/>
    </row>
    <row r="75">
      <c r="A75" s="5" t="inlineStr">
        <is>
          <t>LMB-071</t>
        </is>
      </c>
      <c r="B75" s="5" t="inlineStr">
        <is>
          <t>DOM id lookup</t>
        </is>
      </c>
      <c r="C75" s="5" t="inlineStr">
        <is>
          <t>icon-logbook-axe</t>
        </is>
      </c>
      <c r="D75" s="5" t="inlineStr">
        <is>
          <t>SacredGame.Journal.html:L514; SacredGame.Journal.html:L551</t>
        </is>
      </c>
      <c r="E75" s="5" t="inlineStr">
        <is>
          <t>SacredGame.Journal.html:L210</t>
        </is>
      </c>
      <c r="F75" s="5" t="inlineStr">
        <is>
          <t>Has receiver</t>
        </is>
      </c>
      <c r="G75" s="5" t="inlineStr"/>
    </row>
    <row r="76">
      <c r="A76" s="5" t="inlineStr">
        <is>
          <t>LMB-072</t>
        </is>
      </c>
      <c r="B76" s="5" t="inlineStr">
        <is>
          <t>DOM id lookup</t>
        </is>
      </c>
      <c r="C76" s="5" t="inlineStr">
        <is>
          <t>left-panel</t>
        </is>
      </c>
      <c r="D76" s="5" t="inlineStr">
        <is>
          <t>SacredGame.Panel.html:L1985; SacredGame.Panel.html:L2004; SacredGame.Panel.html:L2114; SacredGame.Panel.html:L2314</t>
        </is>
      </c>
      <c r="E76" s="5" t="inlineStr">
        <is>
          <t>SacredGame.Panel.html:L1642</t>
        </is>
      </c>
      <c r="F76" s="5" t="inlineStr">
        <is>
          <t>Has receiver</t>
        </is>
      </c>
      <c r="G76" s="5" t="inlineStr"/>
    </row>
    <row r="77">
      <c r="A77" s="5" t="inlineStr">
        <is>
          <t>LMB-073</t>
        </is>
      </c>
      <c r="B77" s="5" t="inlineStr">
        <is>
          <t>DOM id lookup</t>
        </is>
      </c>
      <c r="C77" s="5" t="inlineStr">
        <is>
          <t>llm-input</t>
        </is>
      </c>
      <c r="D77" s="5" t="inlineStr">
        <is>
          <t>SacredGame.Panel.html:L2668; SacredGame.Panel.html:L2748; SacredGame.Panel.html:L2816; js/components/Component.NewJournal.html:L915</t>
        </is>
      </c>
      <c r="E77" s="5" t="inlineStr">
        <is>
          <t>js/components/Component.NewJournal.html:L592</t>
        </is>
      </c>
      <c r="F77" s="5" t="inlineStr">
        <is>
          <t>Has receiver</t>
        </is>
      </c>
      <c r="G77" s="5" t="inlineStr"/>
    </row>
    <row r="78">
      <c r="A78" s="5" t="inlineStr">
        <is>
          <t>LMB-074</t>
        </is>
      </c>
      <c r="B78" s="5" t="inlineStr">
        <is>
          <t>DOM id lookup</t>
        </is>
      </c>
      <c r="C78" s="5" t="inlineStr">
        <is>
          <t>loading</t>
        </is>
      </c>
      <c r="D78" s="5" t="inlineStr">
        <is>
          <t>js/components/Component.LoadingModal.html:L267; js/components/Component.LoadingModal.html:L640</t>
        </is>
      </c>
      <c r="E78" s="5" t="inlineStr">
        <is>
          <t>js/components/Component.LoadingModal.html:L221</t>
        </is>
      </c>
      <c r="F78" s="5" t="inlineStr">
        <is>
          <t>Has receiver</t>
        </is>
      </c>
      <c r="G78" s="5" t="inlineStr"/>
    </row>
    <row r="79">
      <c r="A79" s="5" t="inlineStr">
        <is>
          <t>LMB-075</t>
        </is>
      </c>
      <c r="B79" s="5" t="inlineStr">
        <is>
          <t>DOM id lookup</t>
        </is>
      </c>
      <c r="C79" s="5" t="inlineStr">
        <is>
          <t>loading-log</t>
        </is>
      </c>
      <c r="D79" s="5" t="inlineStr">
        <is>
          <t>js/components/Component.LoadingModal.html:L510</t>
        </is>
      </c>
      <c r="E79" s="5" t="inlineStr">
        <is>
          <t>js/components/Component.LoadingModal.html:L258</t>
        </is>
      </c>
      <c r="F79" s="5" t="inlineStr">
        <is>
          <t>Has receiver</t>
        </is>
      </c>
      <c r="G79" s="5" t="inlineStr"/>
    </row>
    <row r="80">
      <c r="A80" s="5" t="inlineStr">
        <is>
          <t>LMB-076</t>
        </is>
      </c>
      <c r="B80" s="5" t="inlineStr">
        <is>
          <t>DOM id lookup</t>
        </is>
      </c>
      <c r="C80" s="5" t="inlineStr">
        <is>
          <t>loading-video</t>
        </is>
      </c>
      <c r="D80" s="5" t="inlineStr">
        <is>
          <t>js/components/Component.LoadingModal.html:L268</t>
        </is>
      </c>
      <c r="E80" s="5" t="inlineStr">
        <is>
          <t>js/components/Component.LoadingModal.html:L222</t>
        </is>
      </c>
      <c r="F80" s="5" t="inlineStr">
        <is>
          <t>Has receiver</t>
        </is>
      </c>
      <c r="G80" s="5" t="inlineStr"/>
    </row>
    <row r="81">
      <c r="A81" s="5" t="inlineStr">
        <is>
          <t>LMB-077</t>
        </is>
      </c>
      <c r="B81" s="5" t="inlineStr">
        <is>
          <t>DOM id lookup</t>
        </is>
      </c>
      <c r="C81" s="5" t="inlineStr">
        <is>
          <t>logbookFrame</t>
        </is>
      </c>
      <c r="D81" s="5" t="inlineStr">
        <is>
          <t>SacredGame.Journal.html:L242; SacredGame.Journal.html:L260; SacredGame.Journal.html:L341; SacredGame.Journal.html:L381; SacredGame.Journal.html:L435; SacredGame.Journal.html:L468; SacredGame.Journal.html:L478; SacredGame.Journal.html:L488; SacredGame.Journal.html:L497; SacredGame.Journal.html:L507; SacredGame.Journal.html:L515; SacredGame.Journal.html:L565</t>
        </is>
      </c>
      <c r="E81" s="5" t="inlineStr">
        <is>
          <t>SacredGame.Journal.html:L205</t>
        </is>
      </c>
      <c r="F81" s="5" t="inlineStr">
        <is>
          <t>Has receiver</t>
        </is>
      </c>
      <c r="G81" s="5" t="inlineStr"/>
    </row>
    <row r="82">
      <c r="A82" s="5" t="inlineStr">
        <is>
          <t>LMB-078</t>
        </is>
      </c>
      <c r="B82" s="5" t="inlineStr">
        <is>
          <t>DOM id lookup</t>
        </is>
      </c>
      <c r="C82" s="5" t="inlineStr">
        <is>
          <t>mobile-thumb-zone</t>
        </is>
      </c>
      <c r="D82" s="5" t="inlineStr">
        <is>
          <t>SacredGame.Panel.html:L1805</t>
        </is>
      </c>
      <c r="E82" s="5" t="inlineStr">
        <is>
          <t>SacredGame.Panel.html:L1644</t>
        </is>
      </c>
      <c r="F82" s="5" t="inlineStr">
        <is>
          <t>Has receiver</t>
        </is>
      </c>
      <c r="G82" s="5" t="inlineStr"/>
    </row>
    <row r="83">
      <c r="A83" s="5" t="inlineStr">
        <is>
          <t>LMB-079</t>
        </is>
      </c>
      <c r="B83" s="5" t="inlineStr">
        <is>
          <t>DOM id lookup</t>
        </is>
      </c>
      <c r="C83" s="5" t="inlineStr">
        <is>
          <t>p-logic</t>
        </is>
      </c>
      <c r="D83" s="5" t="inlineStr">
        <is>
          <t>js/components/Component.LoadingModal.html:L538; js/components/Component.LoadingModal.html:L586</t>
        </is>
      </c>
      <c r="E83" s="5" t="inlineStr">
        <is>
          <t>js/components/Component.LoadingModal.html:L247</t>
        </is>
      </c>
      <c r="F83" s="5" t="inlineStr">
        <is>
          <t>Has receiver</t>
        </is>
      </c>
      <c r="G83" s="5" t="inlineStr"/>
    </row>
    <row r="84">
      <c r="A84" s="5" t="inlineStr">
        <is>
          <t>LMB-080</t>
        </is>
      </c>
      <c r="B84" s="5" t="inlineStr">
        <is>
          <t>DOM id lookup</t>
        </is>
      </c>
      <c r="C84" s="5" t="inlineStr">
        <is>
          <t>p-logic-slot</t>
        </is>
      </c>
      <c r="D84" s="5" t="inlineStr">
        <is>
          <t>js/components/Component.LoadingModal.html:L541; js/components/Component.LoadingModal.html:L583; js/components/Component.LoadingModal.html:L621</t>
        </is>
      </c>
      <c r="E84" s="5" t="inlineStr">
        <is>
          <t>js/components/Component.LoadingModal.html:L248</t>
        </is>
      </c>
      <c r="F84" s="5" t="inlineStr">
        <is>
          <t>Has receiver</t>
        </is>
      </c>
      <c r="G84" s="5" t="inlineStr"/>
    </row>
    <row r="85">
      <c r="A85" s="5" t="inlineStr">
        <is>
          <t>LMB-081</t>
        </is>
      </c>
      <c r="B85" s="5" t="inlineStr">
        <is>
          <t>DOM id lookup</t>
        </is>
      </c>
      <c r="C85" s="5" t="inlineStr">
        <is>
          <t>page-content-left</t>
        </is>
      </c>
      <c r="D85" s="5" t="inlineStr">
        <is>
          <t>js/components/Component.NewJournal.html:L740</t>
        </is>
      </c>
      <c r="E85" s="5" t="inlineStr">
        <is>
          <t>js/components/Component.NewJournal.html:L544</t>
        </is>
      </c>
      <c r="F85" s="5" t="inlineStr">
        <is>
          <t>Has receiver</t>
        </is>
      </c>
      <c r="G85" s="5" t="inlineStr"/>
    </row>
    <row r="86">
      <c r="A86" s="5" t="inlineStr">
        <is>
          <t>LMB-082</t>
        </is>
      </c>
      <c r="B86" s="5" t="inlineStr">
        <is>
          <t>DOM id lookup</t>
        </is>
      </c>
      <c r="C86" s="5" t="inlineStr">
        <is>
          <t>page-content-right</t>
        </is>
      </c>
      <c r="D86" s="5" t="inlineStr">
        <is>
          <t>js/components/Component.NewJournal.html:L741</t>
        </is>
      </c>
      <c r="E86" s="5" t="inlineStr">
        <is>
          <t>js/components/Component.NewJournal.html:L555</t>
        </is>
      </c>
      <c r="F86" s="5" t="inlineStr">
        <is>
          <t>Has receiver</t>
        </is>
      </c>
      <c r="G86" s="5" t="inlineStr"/>
    </row>
    <row r="87">
      <c r="A87" s="5" t="inlineStr">
        <is>
          <t>LMB-083</t>
        </is>
      </c>
      <c r="B87" s="5" t="inlineStr">
        <is>
          <t>DOM id lookup</t>
        </is>
      </c>
      <c r="C87" s="5" t="inlineStr">
        <is>
          <t>page-num-left</t>
        </is>
      </c>
      <c r="D87" s="5" t="inlineStr">
        <is>
          <t>js/components/Component.NewJournal.html:L742</t>
        </is>
      </c>
      <c r="E87" s="5" t="inlineStr">
        <is>
          <t>js/components/Component.NewJournal.html:L546</t>
        </is>
      </c>
      <c r="F87" s="5" t="inlineStr">
        <is>
          <t>Has receiver</t>
        </is>
      </c>
      <c r="G87" s="5" t="inlineStr"/>
    </row>
    <row r="88">
      <c r="A88" s="5" t="inlineStr">
        <is>
          <t>LMB-084</t>
        </is>
      </c>
      <c r="B88" s="5" t="inlineStr">
        <is>
          <t>DOM id lookup</t>
        </is>
      </c>
      <c r="C88" s="5" t="inlineStr">
        <is>
          <t>page-num-right</t>
        </is>
      </c>
      <c r="D88" s="5" t="inlineStr">
        <is>
          <t>js/components/Component.NewJournal.html:L743</t>
        </is>
      </c>
      <c r="E88" s="5" t="inlineStr">
        <is>
          <t>js/components/Component.NewJournal.html:L562</t>
        </is>
      </c>
      <c r="F88" s="5" t="inlineStr">
        <is>
          <t>Has receiver</t>
        </is>
      </c>
      <c r="G88" s="5" t="inlineStr"/>
    </row>
    <row r="89">
      <c r="A89" s="5" t="inlineStr">
        <is>
          <t>LMB-085</t>
        </is>
      </c>
      <c r="B89" s="5" t="inlineStr">
        <is>
          <t>DOM id lookup</t>
        </is>
      </c>
      <c r="C89" s="5" t="inlineStr">
        <is>
          <t>panel-frame</t>
        </is>
      </c>
      <c r="D89" s="5" t="inlineStr">
        <is>
          <t>SacredGame.Journal.html:L329; js/v2/UIModule.js:L223</t>
        </is>
      </c>
      <c r="E89" s="5" t="inlineStr">
        <is>
          <t>js/v2/UIModule.js:L209</t>
        </is>
      </c>
      <c r="F89" s="5" t="inlineStr">
        <is>
          <t>Has receiver</t>
        </is>
      </c>
      <c r="G89" s="5" t="inlineStr"/>
    </row>
    <row r="90">
      <c r="A90" s="5" t="inlineStr">
        <is>
          <t>LMB-086</t>
        </is>
      </c>
      <c r="B90" s="5" t="inlineStr">
        <is>
          <t>DOM id lookup</t>
        </is>
      </c>
      <c r="C90" s="5" t="inlineStr">
        <is>
          <t>parser-feedback</t>
        </is>
      </c>
      <c r="D90" s="5" t="inlineStr">
        <is>
          <t>js/components/Component.NewJournal.html:L916; js/components/Component.NewJournal.html:L1304; js/components/Component.NewJournal.html:L1330</t>
        </is>
      </c>
      <c r="E90" s="5" t="inlineStr">
        <is>
          <t>js/components/Component.NewJournal.html:L596</t>
        </is>
      </c>
      <c r="F90" s="5" t="inlineStr">
        <is>
          <t>Has receiver</t>
        </is>
      </c>
      <c r="G90" s="5" t="inlineStr"/>
    </row>
    <row r="91">
      <c r="A91" s="5" t="inlineStr">
        <is>
          <t>LMB-087</t>
        </is>
      </c>
      <c r="B91" s="5" t="inlineStr">
        <is>
          <t>DOM id lookup</t>
        </is>
      </c>
      <c r="C91" s="5" t="inlineStr">
        <is>
          <t>pip-click-zone</t>
        </is>
      </c>
      <c r="D91" s="5" t="inlineStr">
        <is>
          <t>js/v2/UIModule.js:L235</t>
        </is>
      </c>
      <c r="E91" s="5" t="inlineStr">
        <is>
          <t>js/v2/UIModule.js:L219</t>
        </is>
      </c>
      <c r="F91" s="5" t="inlineStr">
        <is>
          <t>Has receiver</t>
        </is>
      </c>
      <c r="G91" s="5" t="inlineStr"/>
    </row>
    <row r="92">
      <c r="A92" s="5" t="inlineStr">
        <is>
          <t>LMB-088</t>
        </is>
      </c>
      <c r="B92" s="5" t="inlineStr">
        <is>
          <t>DOM id lookup</t>
        </is>
      </c>
      <c r="C92" s="5" t="inlineStr">
        <is>
          <t>res-indicator</t>
        </is>
      </c>
      <c r="D92" s="5" t="inlineStr">
        <is>
          <t>js/components/Component.NewJournal.html:L1207</t>
        </is>
      </c>
      <c r="E92" s="5" t="inlineStr">
        <is>
          <t>js/components/Component.NewJournal.html:L600</t>
        </is>
      </c>
      <c r="F92" s="5" t="inlineStr">
        <is>
          <t>Has receiver</t>
        </is>
      </c>
      <c r="G92" s="5" t="inlineStr"/>
    </row>
    <row r="93">
      <c r="A93" s="5" t="inlineStr">
        <is>
          <t>LMB-089</t>
        </is>
      </c>
      <c r="B93" s="5" t="inlineStr">
        <is>
          <t>DOM id lookup</t>
        </is>
      </c>
      <c r="C93" s="5" t="inlineStr">
        <is>
          <t>right-panel</t>
        </is>
      </c>
      <c r="D93" s="5" t="inlineStr">
        <is>
          <t>SacredGame.Panel.html:L2115; SacredGame.Panel.html:L2608</t>
        </is>
      </c>
      <c r="E93" s="5" t="inlineStr">
        <is>
          <t>SacredGame.Panel.html:L1663</t>
        </is>
      </c>
      <c r="F93" s="5" t="inlineStr">
        <is>
          <t>Has receiver</t>
        </is>
      </c>
      <c r="G93" s="5" t="inlineStr"/>
    </row>
    <row r="94">
      <c r="A94" s="5" t="inlineStr">
        <is>
          <t>LMB-090</t>
        </is>
      </c>
      <c r="B94" s="5" t="inlineStr">
        <is>
          <t>DOM id lookup</t>
        </is>
      </c>
      <c r="C94" s="5" t="inlineStr">
        <is>
          <t>sacred-logbook-engine</t>
        </is>
      </c>
      <c r="D94" s="5" t="inlineStr">
        <is>
          <t>js/components/Component.NewJournal.html:L628; js/components/Component.NewJournal.html:L641</t>
        </is>
      </c>
      <c r="E94" s="5" t="inlineStr">
        <is>
          <t>js/components/Component.NewJournal.html:L508</t>
        </is>
      </c>
      <c r="F94" s="5" t="inlineStr">
        <is>
          <t>Has receiver</t>
        </is>
      </c>
      <c r="G94" s="5" t="inlineStr"/>
    </row>
    <row r="95">
      <c r="A95" s="5" t="inlineStr">
        <is>
          <t>LMB-091</t>
        </is>
      </c>
      <c r="B95" s="5" t="inlineStr">
        <is>
          <t>DOM id lookup</t>
        </is>
      </c>
      <c r="C95" s="5" t="inlineStr">
        <is>
          <t>sanctuary-welcome-guide-css</t>
        </is>
      </c>
      <c r="D95" s="5" t="inlineStr">
        <is>
          <t>js/sanctuary/SanctuaryWelcomeGuide.js:L59</t>
        </is>
      </c>
      <c r="E95" s="5" t="inlineStr">
        <is>
          <t>js/sanctuary/SanctuaryWelcomeGuide.js:L61; js/sanctuary/SanctuaryWelcomeGuide.js:L61</t>
        </is>
      </c>
      <c r="F95" s="5" t="inlineStr">
        <is>
          <t>Has receiver</t>
        </is>
      </c>
      <c r="G95" s="5" t="inlineStr"/>
    </row>
    <row r="96">
      <c r="A96" s="5" t="inlineStr">
        <is>
          <t>LMB-092</t>
        </is>
      </c>
      <c r="B96" s="5" t="inlineStr">
        <is>
          <t>DOM id lookup</t>
        </is>
      </c>
      <c r="C96" s="5" t="inlineStr">
        <is>
          <t>setup-modal</t>
        </is>
      </c>
      <c r="D96" s="5" t="inlineStr">
        <is>
          <t>SacredGame.Panel.html:L1601; SacredGame.Panel.html:L1615; SacredGame.Panel.html:L1617</t>
        </is>
      </c>
      <c r="E96" s="5" t="inlineStr">
        <is>
          <t>SacredGame.Panel.html:L1606</t>
        </is>
      </c>
      <c r="F96" s="5" t="inlineStr">
        <is>
          <t>Has receiver</t>
        </is>
      </c>
      <c r="G96" s="5" t="inlineStr"/>
    </row>
    <row r="97">
      <c r="A97" s="5" t="inlineStr">
        <is>
          <t>LMB-093</t>
        </is>
      </c>
      <c r="B97" s="5" t="inlineStr">
        <is>
          <t>DOM id lookup</t>
        </is>
      </c>
      <c r="C97" s="5" t="inlineStr">
        <is>
          <t>sr-announcer</t>
        </is>
      </c>
      <c r="D97" s="5" t="inlineStr">
        <is>
          <t>js/components/Component.NewJournal.html:L631; js/components/Component.NewJournal.html:L644; js/components/Component.NewJournal.html:L678; js/components/Component.NewJournal.html:L747; js/components/Component.NewJournal.html:L983; js/components/Component.NewJournal.html:L1315</t>
        </is>
      </c>
      <c r="E97" s="5" t="inlineStr">
        <is>
          <t>js/components/Component.NewJournal.html:L506</t>
        </is>
      </c>
      <c r="F97" s="5" t="inlineStr">
        <is>
          <t>Has receiver</t>
        </is>
      </c>
      <c r="G97" s="5" t="inlineStr"/>
    </row>
    <row r="98">
      <c r="A98" s="5" t="inlineStr">
        <is>
          <t>LMB-094</t>
        </is>
      </c>
      <c r="B98" s="5" t="inlineStr">
        <is>
          <t>DOM id lookup</t>
        </is>
      </c>
      <c r="C98" s="5" t="inlineStr">
        <is>
          <t>tab-log</t>
        </is>
      </c>
      <c r="D98" s="5" t="inlineStr">
        <is>
          <t>js/components/Component.NewJournal.html:L633</t>
        </is>
      </c>
      <c r="E98" s="5" t="inlineStr">
        <is>
          <t>js/components/Component.NewJournal.html:L519</t>
        </is>
      </c>
      <c r="F98" s="5" t="inlineStr">
        <is>
          <t>Has receiver</t>
        </is>
      </c>
      <c r="G98" s="5" t="inlineStr"/>
    </row>
    <row r="99">
      <c r="A99" s="5" t="inlineStr">
        <is>
          <t>LMB-095</t>
        </is>
      </c>
      <c r="B99" s="5" t="inlineStr">
        <is>
          <t>DOM id lookup</t>
        </is>
      </c>
      <c r="C99" s="5" t="inlineStr">
        <is>
          <t>ui-layer</t>
        </is>
      </c>
      <c r="D99" s="5" t="inlineStr">
        <is>
          <t>SacredGame.Panel.html:L2677</t>
        </is>
      </c>
      <c r="E99" s="5" t="inlineStr">
        <is>
          <t>SacredGame.Panel.html:L1599</t>
        </is>
      </c>
      <c r="F99" s="5" t="inlineStr">
        <is>
          <t>Has receiver</t>
        </is>
      </c>
      <c r="G99" s="5" t="inlineStr"/>
    </row>
    <row r="100">
      <c r="A100" s="5" t="inlineStr">
        <is>
          <t>LMB-096</t>
        </is>
      </c>
      <c r="B100" s="5" t="inlineStr">
        <is>
          <t>DOM id lookup</t>
        </is>
      </c>
      <c r="C100" s="5" t="inlineStr">
        <is>
          <t>v2-anu-alert</t>
        </is>
      </c>
      <c r="D100" s="5" t="inlineStr">
        <is>
          <t>js/v2/OrchestratorHud.js:L672</t>
        </is>
      </c>
      <c r="E100" s="5" t="inlineStr">
        <is>
          <t>js/v2/OrchestratorHud.js:L40</t>
        </is>
      </c>
      <c r="F100" s="5" t="inlineStr">
        <is>
          <t>Has receiver</t>
        </is>
      </c>
      <c r="G100" s="5" t="inlineStr"/>
    </row>
    <row r="101">
      <c r="A101" s="5" t="inlineStr">
        <is>
          <t>LMB-097</t>
        </is>
      </c>
      <c r="B101" s="5" t="inlineStr">
        <is>
          <t>DOM id lookup</t>
        </is>
      </c>
      <c r="C101" s="5" t="inlineStr">
        <is>
          <t>v2-bench</t>
        </is>
      </c>
      <c r="D101" s="5" t="inlineStr">
        <is>
          <t>js/v2/OrchestratorHud.js:L613</t>
        </is>
      </c>
      <c r="E101" s="5" t="inlineStr">
        <is>
          <t>js/v2/OrchestratorHud.js:L80</t>
        </is>
      </c>
      <c r="F101" s="5" t="inlineStr">
        <is>
          <t>Has receiver</t>
        </is>
      </c>
      <c r="G101" s="5" t="inlineStr"/>
    </row>
    <row r="102">
      <c r="A102" s="5" t="inlineStr">
        <is>
          <t>LMB-098</t>
        </is>
      </c>
      <c r="B102" s="5" t="inlineStr">
        <is>
          <t>DOM id lookup</t>
        </is>
      </c>
      <c r="C102" s="5" t="inlineStr">
        <is>
          <t>v2-distance-pill</t>
        </is>
      </c>
      <c r="D102" s="5" t="inlineStr">
        <is>
          <t>js/v2/UIModule.js:L253</t>
        </is>
      </c>
      <c r="E102" s="5" t="inlineStr">
        <is>
          <t>js/v2/UIModule.js:L210</t>
        </is>
      </c>
      <c r="F102" s="5" t="inlineStr">
        <is>
          <t>Has receiver</t>
        </is>
      </c>
      <c r="G102" s="5" t="inlineStr"/>
    </row>
    <row r="103">
      <c r="A103" s="5" t="inlineStr">
        <is>
          <t>LMB-099</t>
        </is>
      </c>
      <c r="B103" s="5" t="inlineStr">
        <is>
          <t>DOM id lookup</t>
        </is>
      </c>
      <c r="C103" s="5" t="inlineStr">
        <is>
          <t>v2-draws</t>
        </is>
      </c>
      <c r="D103" s="5" t="inlineStr">
        <is>
          <t>js/v2/OrchestratorHud.js:L612</t>
        </is>
      </c>
      <c r="E103" s="5" t="inlineStr">
        <is>
          <t>js/v2/OrchestratorHud.js:L41</t>
        </is>
      </c>
      <c r="F103" s="5" t="inlineStr">
        <is>
          <t>Has receiver</t>
        </is>
      </c>
      <c r="G103" s="5" t="inlineStr"/>
    </row>
    <row r="104">
      <c r="A104" s="5" t="inlineStr">
        <is>
          <t>LMB-100</t>
        </is>
      </c>
      <c r="B104" s="5" t="inlineStr">
        <is>
          <t>DOM id lookup</t>
        </is>
      </c>
      <c r="C104" s="5" t="inlineStr">
        <is>
          <t>v2-font</t>
        </is>
      </c>
      <c r="D104" s="5" t="inlineStr">
        <is>
          <t>js/v2/OrchestratorHud.js:L96</t>
        </is>
      </c>
      <c r="E104" s="5" t="inlineStr">
        <is>
          <t>js/v2/OrchestratorHud.js:L98; js/v2/OrchestratorHud.js:L98</t>
        </is>
      </c>
      <c r="F104" s="5" t="inlineStr">
        <is>
          <t>Has receiver</t>
        </is>
      </c>
      <c r="G104" s="5" t="inlineStr"/>
    </row>
    <row r="105">
      <c r="A105" s="5" t="inlineStr">
        <is>
          <t>LMB-101</t>
        </is>
      </c>
      <c r="B105" s="5" t="inlineStr">
        <is>
          <t>DOM id lookup</t>
        </is>
      </c>
      <c r="C105" s="5" t="inlineStr">
        <is>
          <t>v2-fps</t>
        </is>
      </c>
      <c r="D105" s="5" t="inlineStr">
        <is>
          <t>js/v2/OrchestratorHud.js:L611</t>
        </is>
      </c>
      <c r="E105" s="5" t="inlineStr">
        <is>
          <t>js/v2/OrchestratorHud.js:L34</t>
        </is>
      </c>
      <c r="F105" s="5" t="inlineStr">
        <is>
          <t>Has receiver</t>
        </is>
      </c>
      <c r="G105" s="5" t="inlineStr"/>
    </row>
    <row r="106">
      <c r="A106" s="5" t="inlineStr">
        <is>
          <t>LMB-102</t>
        </is>
      </c>
      <c r="B106" s="5" t="inlineStr">
        <is>
          <t>DOM id lookup</t>
        </is>
      </c>
      <c r="C106" s="5" t="inlineStr">
        <is>
          <t>v2-frame-graph</t>
        </is>
      </c>
      <c r="D106" s="5" t="inlineStr">
        <is>
          <t>js/v2/OrchestratorHud.js:L652</t>
        </is>
      </c>
      <c r="E106" s="5" t="inlineStr">
        <is>
          <t>js/v2/OrchestratorHud.js:L36</t>
        </is>
      </c>
      <c r="F106" s="5" t="inlineStr">
        <is>
          <t>Has receiver</t>
        </is>
      </c>
      <c r="G106" s="5" t="inlineStr"/>
    </row>
    <row r="107">
      <c r="A107" s="5" t="inlineStr">
        <is>
          <t>LMB-103</t>
        </is>
      </c>
      <c r="B107" s="5" t="inlineStr">
        <is>
          <t>DOM id lookup</t>
        </is>
      </c>
      <c r="C107" s="5" t="inlineStr">
        <is>
          <t>v2-hud-trace-label</t>
        </is>
      </c>
      <c r="D107" s="5" t="inlineStr">
        <is>
          <t>js/v2/OrchestratorHud.js:L461</t>
        </is>
      </c>
      <c r="E107" s="5" t="inlineStr">
        <is>
          <t>js/v2/OrchestratorHud.js:L47</t>
        </is>
      </c>
      <c r="F107" s="5" t="inlineStr">
        <is>
          <t>Has receiver</t>
        </is>
      </c>
      <c r="G107" s="5" t="inlineStr"/>
    </row>
    <row r="108">
      <c r="A108" s="5" t="inlineStr">
        <is>
          <t>LMB-104</t>
        </is>
      </c>
      <c r="B108" s="5" t="inlineStr">
        <is>
          <t>DOM id lookup</t>
        </is>
      </c>
      <c r="C108" s="5" t="inlineStr">
        <is>
          <t>v2-hud-universe-label</t>
        </is>
      </c>
      <c r="D108" s="5" t="inlineStr">
        <is>
          <t>js/v2/OrchestratorHud.js:L205</t>
        </is>
      </c>
      <c r="E108" s="5" t="inlineStr">
        <is>
          <t>js/v2/OrchestratorHud.js:L74</t>
        </is>
      </c>
      <c r="F108" s="5" t="inlineStr">
        <is>
          <t>Has receiver</t>
        </is>
      </c>
      <c r="G108" s="5" t="inlineStr"/>
    </row>
    <row r="109">
      <c r="A109" s="5" t="inlineStr">
        <is>
          <t>LMB-105</t>
        </is>
      </c>
      <c r="B109" s="5" t="inlineStr">
        <is>
          <t>DOM id lookup</t>
        </is>
      </c>
      <c r="C109" s="5" t="inlineStr">
        <is>
          <t>v2-load</t>
        </is>
      </c>
      <c r="D109" s="5" t="inlineStr">
        <is>
          <t>js/v2/OrchestratorHud.js:L650</t>
        </is>
      </c>
      <c r="E109" s="5" t="inlineStr">
        <is>
          <t>js/v2/OrchestratorHud.js:L37</t>
        </is>
      </c>
      <c r="F109" s="5" t="inlineStr">
        <is>
          <t>Has receiver</t>
        </is>
      </c>
      <c r="G109" s="5" t="inlineStr"/>
    </row>
    <row r="110">
      <c r="A110" s="5" t="inlineStr">
        <is>
          <t>LMB-106</t>
        </is>
      </c>
      <c r="B110" s="5" t="inlineStr">
        <is>
          <t>DOM id lookup</t>
        </is>
      </c>
      <c r="C110" s="5" t="inlineStr">
        <is>
          <t>v2-load-detail</t>
        </is>
      </c>
      <c r="D110" s="5" t="inlineStr">
        <is>
          <t>js/v2/OrchestratorHud.js:L651</t>
        </is>
      </c>
      <c r="E110" s="5" t="inlineStr">
        <is>
          <t>js/v2/OrchestratorHud.js:L38</t>
        </is>
      </c>
      <c r="F110" s="5" t="inlineStr">
        <is>
          <t>Has receiver</t>
        </is>
      </c>
      <c r="G110" s="5" t="inlineStr"/>
    </row>
    <row r="111">
      <c r="A111" s="5" t="inlineStr">
        <is>
          <t>LMB-107</t>
        </is>
      </c>
      <c r="B111" s="5" t="inlineStr">
        <is>
          <t>DOM id lookup</t>
        </is>
      </c>
      <c r="C111" s="5" t="inlineStr">
        <is>
          <t>v2-map-picker</t>
        </is>
      </c>
      <c r="D111" s="5" t="inlineStr">
        <is>
          <t>js/v2/OrchestratorHud.js:L540</t>
        </is>
      </c>
      <c r="E111" s="5" t="inlineStr">
        <is>
          <t>js/v2/OrchestratorHud.js:L85</t>
        </is>
      </c>
      <c r="F111" s="5" t="inlineStr">
        <is>
          <t>Has receiver</t>
        </is>
      </c>
      <c r="G111" s="5" t="inlineStr"/>
    </row>
    <row r="112">
      <c r="A112" s="5" t="inlineStr">
        <is>
          <t>LMB-108</t>
        </is>
      </c>
      <c r="B112" s="5" t="inlineStr">
        <is>
          <t>DOM id lookup</t>
        </is>
      </c>
      <c r="C112" s="5" t="inlineStr">
        <is>
          <t>v2-modules</t>
        </is>
      </c>
      <c r="D112" s="5" t="inlineStr">
        <is>
          <t>js/v2/OrchestratorHud.js:L589</t>
        </is>
      </c>
      <c r="E112" s="5" t="inlineStr">
        <is>
          <t>js/v2/OrchestratorHud.js:L79</t>
        </is>
      </c>
      <c r="F112" s="5" t="inlineStr">
        <is>
          <t>Has receiver</t>
        </is>
      </c>
      <c r="G112" s="5" t="inlineStr"/>
    </row>
    <row r="113">
      <c r="A113" s="5" t="inlineStr">
        <is>
          <t>LMB-109</t>
        </is>
      </c>
      <c r="B113" s="5" t="inlineStr">
        <is>
          <t>DOM id lookup</t>
        </is>
      </c>
      <c r="C113" s="5" t="inlineStr">
        <is>
          <t>v2-orchestrator-hud</t>
        </is>
      </c>
      <c r="D113" s="5" t="inlineStr">
        <is>
          <t>js/sanctuary/SanctuaryToolPalette.js:L478; js/v2/OrchestratorHud.js:L879; js/v2/OrchestratorHud.js:L938; index.html:L437; index.html:L868</t>
        </is>
      </c>
      <c r="E113" s="5" t="inlineStr">
        <is>
          <t>js/v2/OrchestratorHud.js:L152; js/v2/OrchestratorHud.js:L152</t>
        </is>
      </c>
      <c r="F113" s="5" t="inlineStr">
        <is>
          <t>Has receiver</t>
        </is>
      </c>
      <c r="G113" s="5" t="inlineStr"/>
    </row>
    <row r="114">
      <c r="A114" s="5" t="inlineStr">
        <is>
          <t>LMB-110</t>
        </is>
      </c>
      <c r="B114" s="5" t="inlineStr">
        <is>
          <t>DOM id lookup</t>
        </is>
      </c>
      <c r="C114" s="5" t="inlineStr">
        <is>
          <t>v2-orchestrator-hud-mobile-css</t>
        </is>
      </c>
      <c r="D114" s="5" t="inlineStr">
        <is>
          <t>js/v2/OrchestratorHud.js:L108</t>
        </is>
      </c>
      <c r="E114" s="5" t="inlineStr">
        <is>
          <t>js/v2/OrchestratorHud.js:L110; js/v2/OrchestratorHud.js:L110</t>
        </is>
      </c>
      <c r="F114" s="5" t="inlineStr">
        <is>
          <t>Has receiver</t>
        </is>
      </c>
      <c r="G114" s="5" t="inlineStr"/>
    </row>
    <row r="115">
      <c r="A115" s="5" t="inlineStr">
        <is>
          <t>LMB-111</t>
        </is>
      </c>
      <c r="B115" s="5" t="inlineStr">
        <is>
          <t>DOM id lookup</t>
        </is>
      </c>
      <c r="C115" s="5" t="inlineStr">
        <is>
          <t>v2-panels-pip</t>
        </is>
      </c>
      <c r="D115" s="5" t="inlineStr">
        <is>
          <t>js/v2/OrchestratorHud.js:L887; js/v2/OrchestratorHud.js:L939</t>
        </is>
      </c>
      <c r="E115" s="5" t="inlineStr">
        <is>
          <t>js/v2/UIModule.js:L42; js/v2/UIModule.js:L42</t>
        </is>
      </c>
      <c r="F115" s="5" t="inlineStr">
        <is>
          <t>Has receiver</t>
        </is>
      </c>
      <c r="G115" s="5" t="inlineStr"/>
    </row>
    <row r="116">
      <c r="A116" s="5" t="inlineStr">
        <is>
          <t>LMB-112</t>
        </is>
      </c>
      <c r="B116" s="5" t="inlineStr">
        <is>
          <t>DOM id lookup</t>
        </is>
      </c>
      <c r="C116" s="5" t="inlineStr">
        <is>
          <t>v2-pip</t>
        </is>
      </c>
      <c r="D116" s="5" t="inlineStr">
        <is>
          <t>js/v2/OrchestratorHud.js:L637</t>
        </is>
      </c>
      <c r="E116" s="5" t="inlineStr">
        <is>
          <t>js/v2/OrchestratorHud.js:L42</t>
        </is>
      </c>
      <c r="F116" s="5" t="inlineStr">
        <is>
          <t>Has receiver</t>
        </is>
      </c>
      <c r="G116" s="5" t="inlineStr"/>
    </row>
    <row r="117">
      <c r="A117" s="5" t="inlineStr">
        <is>
          <t>LMB-113</t>
        </is>
      </c>
      <c r="B117" s="5" t="inlineStr">
        <is>
          <t>DOM id lookup</t>
        </is>
      </c>
      <c r="C117" s="5" t="inlineStr">
        <is>
          <t>v2-pip-canvas</t>
        </is>
      </c>
      <c r="D117" s="5" t="inlineStr">
        <is>
          <t>js/v2/Orchestrator.js:L1417; js/v2/UIModule.js:L226</t>
        </is>
      </c>
      <c r="E117" s="5" t="inlineStr">
        <is>
          <t>js/v2/UIModule.js:L218</t>
        </is>
      </c>
      <c r="F117" s="5" t="inlineStr">
        <is>
          <t>Has receiver</t>
        </is>
      </c>
      <c r="G117" s="5" t="inlineStr"/>
    </row>
    <row r="118">
      <c r="A118" s="5" t="inlineStr">
        <is>
          <t>LMB-114</t>
        </is>
      </c>
      <c r="B118" s="5" t="inlineStr">
        <is>
          <t>DOM id lookup</t>
        </is>
      </c>
      <c r="C118" s="5" t="inlineStr">
        <is>
          <t>v2-trace-accordion-body</t>
        </is>
      </c>
      <c r="D118" s="5" t="inlineStr">
        <is>
          <t>js/v2/OrchestratorHud.js:L462</t>
        </is>
      </c>
      <c r="E118" s="5" t="inlineStr">
        <is>
          <t>js/v2/OrchestratorHud.js:L61</t>
        </is>
      </c>
      <c r="F118" s="5" t="inlineStr">
        <is>
          <t>Has receiver</t>
        </is>
      </c>
      <c r="G118" s="5" t="inlineStr"/>
    </row>
    <row r="119">
      <c r="A119" s="5" t="inlineStr">
        <is>
          <t>LMB-115</t>
        </is>
      </c>
      <c r="B119" s="5" t="inlineStr">
        <is>
          <t>DOM id lookup</t>
        </is>
      </c>
      <c r="C119" s="5" t="inlineStr">
        <is>
          <t>v2-trace-copy-pill</t>
        </is>
      </c>
      <c r="D119" s="5" t="inlineStr">
        <is>
          <t>js/v2/OrchestratorHud.js:L465</t>
        </is>
      </c>
      <c r="E119" s="5" t="inlineStr">
        <is>
          <t>js/v2/OrchestratorHud.js:L56</t>
        </is>
      </c>
      <c r="F119" s="5" t="inlineStr">
        <is>
          <t>Has receiver</t>
        </is>
      </c>
      <c r="G119" s="5" t="inlineStr"/>
    </row>
    <row r="120">
      <c r="A120" s="5" t="inlineStr">
        <is>
          <t>LMB-116</t>
        </is>
      </c>
      <c r="B120" s="5" t="inlineStr">
        <is>
          <t>DOM id lookup</t>
        </is>
      </c>
      <c r="C120" s="5" t="inlineStr">
        <is>
          <t>v2-trace-dur</t>
        </is>
      </c>
      <c r="D120" s="5" t="inlineStr">
        <is>
          <t>js/v2/OrchestratorHud.js:L464</t>
        </is>
      </c>
      <c r="E120" s="5" t="inlineStr">
        <is>
          <t>js/v2/OrchestratorHud.js:L54</t>
        </is>
      </c>
      <c r="F120" s="5" t="inlineStr">
        <is>
          <t>Has receiver</t>
        </is>
      </c>
      <c r="G120" s="5" t="inlineStr"/>
    </row>
    <row r="121">
      <c r="A121" s="5" t="inlineStr">
        <is>
          <t>LMB-117</t>
        </is>
      </c>
      <c r="B121" s="5" t="inlineStr">
        <is>
          <t>DOM id lookup</t>
        </is>
      </c>
      <c r="C121" s="5" t="inlineStr">
        <is>
          <t>v2-trace-spark</t>
        </is>
      </c>
      <c r="D121" s="5" t="inlineStr">
        <is>
          <t>js/v2/OrchestratorHud.js:L480</t>
        </is>
      </c>
      <c r="E121" s="5" t="inlineStr">
        <is>
          <t>js/v2/OrchestratorHud.js:L62</t>
        </is>
      </c>
      <c r="F121" s="5" t="inlineStr">
        <is>
          <t>Has receiver</t>
        </is>
      </c>
      <c r="G121" s="5" t="inlineStr"/>
    </row>
    <row r="122">
      <c r="A122" s="5" t="inlineStr">
        <is>
          <t>LMB-118</t>
        </is>
      </c>
      <c r="B122" s="5" t="inlineStr">
        <is>
          <t>DOM id lookup</t>
        </is>
      </c>
      <c r="C122" s="5" t="inlineStr">
        <is>
          <t>v2-trace-stats</t>
        </is>
      </c>
      <c r="D122" s="5" t="inlineStr">
        <is>
          <t>js/v2/OrchestratorHud.js:L474; js/v2/OrchestratorHud.js:L482</t>
        </is>
      </c>
      <c r="E122" s="5" t="inlineStr">
        <is>
          <t>js/v2/OrchestratorHud.js:L66</t>
        </is>
      </c>
      <c r="F122" s="5" t="inlineStr">
        <is>
          <t>Has receiver</t>
        </is>
      </c>
      <c r="G122" s="5" t="inlineStr"/>
    </row>
    <row r="123">
      <c r="A123" s="5" t="inlineStr">
        <is>
          <t>LMB-119</t>
        </is>
      </c>
      <c r="B123" s="5" t="inlineStr">
        <is>
          <t>DOM id lookup</t>
        </is>
      </c>
      <c r="C123" s="5" t="inlineStr">
        <is>
          <t>v2-trace-toggle-icon</t>
        </is>
      </c>
      <c r="D123" s="5" t="inlineStr">
        <is>
          <t>js/v2/OrchestratorHud.js:L463</t>
        </is>
      </c>
      <c r="E123" s="5" t="inlineStr">
        <is>
          <t>js/v2/OrchestratorHud.js:L52</t>
        </is>
      </c>
      <c r="F123" s="5" t="inlineStr">
        <is>
          <t>Has receiver</t>
        </is>
      </c>
      <c r="G123" s="5" t="inlineStr"/>
    </row>
    <row r="124">
      <c r="A124" s="5" t="inlineStr">
        <is>
          <t>LMB-120</t>
        </is>
      </c>
      <c r="B124" s="5" t="inlineStr">
        <is>
          <t>DOM id lookup</t>
        </is>
      </c>
      <c r="C124" s="5" t="inlineStr">
        <is>
          <t>v2-universe-accordion-body</t>
        </is>
      </c>
      <c r="D124" s="5" t="inlineStr">
        <is>
          <t>js/v2/OrchestratorHud.js:L206</t>
        </is>
      </c>
      <c r="E124" s="5" t="inlineStr">
        <is>
          <t>js/v2/OrchestratorHud.js:L78</t>
        </is>
      </c>
      <c r="F124" s="5" t="inlineStr">
        <is>
          <t>Has receiver</t>
        </is>
      </c>
      <c r="G124" s="5" t="inlineStr"/>
    </row>
    <row r="125">
      <c r="A125" s="5" t="inlineStr">
        <is>
          <t>LMB-121</t>
        </is>
      </c>
      <c r="B125" s="5" t="inlineStr">
        <is>
          <t>DOM id lookup</t>
        </is>
      </c>
      <c r="C125" s="5" t="inlineStr">
        <is>
          <t>v2-universe-count</t>
        </is>
      </c>
      <c r="D125" s="5" t="inlineStr">
        <is>
          <t>js/v2/OrchestratorHud.js:L590</t>
        </is>
      </c>
      <c r="E125" s="5" t="inlineStr">
        <is>
          <t>js/v2/OrchestratorHud.js:L76</t>
        </is>
      </c>
      <c r="F125" s="5" t="inlineStr">
        <is>
          <t>Has receiver</t>
        </is>
      </c>
      <c r="G125" s="5" t="inlineStr"/>
    </row>
    <row r="126">
      <c r="A126" s="5" t="inlineStr">
        <is>
          <t>LMB-122</t>
        </is>
      </c>
      <c r="B126" s="5" t="inlineStr">
        <is>
          <t>DOM id lookup</t>
        </is>
      </c>
      <c r="C126" s="5" t="inlineStr">
        <is>
          <t>v2-universe-pct</t>
        </is>
      </c>
      <c r="D126" s="5" t="inlineStr">
        <is>
          <t>js/v2/OrchestratorHud.js:L706</t>
        </is>
      </c>
      <c r="E126" s="5" t="inlineStr">
        <is>
          <t>js/v2/OrchestratorHud.js:L75</t>
        </is>
      </c>
      <c r="F126" s="5" t="inlineStr">
        <is>
          <t>Has receiver</t>
        </is>
      </c>
      <c r="G126" s="5" t="inlineStr"/>
    </row>
    <row r="127">
      <c r="A127" s="5" t="inlineStr">
        <is>
          <t>LMB-123</t>
        </is>
      </c>
      <c r="B127" s="5" t="inlineStr">
        <is>
          <t>DOM id lookup</t>
        </is>
      </c>
      <c r="C127" s="5" t="inlineStr">
        <is>
          <t>v2-universe-toggle-icon</t>
        </is>
      </c>
      <c r="D127" s="5" t="inlineStr">
        <is>
          <t>js/v2/OrchestratorHud.js:L207</t>
        </is>
      </c>
      <c r="E127" s="5" t="inlineStr">
        <is>
          <t>js/v2/OrchestratorHud.js:L75</t>
        </is>
      </c>
      <c r="F127" s="5" t="inlineStr">
        <is>
          <t>Has receiver</t>
        </is>
      </c>
      <c r="G127" s="5" t="inlineStr"/>
    </row>
    <row r="128">
      <c r="A128" s="5" t="inlineStr">
        <is>
          <t>LMB-124</t>
        </is>
      </c>
      <c r="B128" s="5" t="inlineStr">
        <is>
          <t>DOM id lookup</t>
        </is>
      </c>
      <c r="C128" s="5" t="inlineStr">
        <is>
          <t>v4-ambient-style</t>
        </is>
      </c>
      <c r="D128" s="5" t="inlineStr">
        <is>
          <t>js/sanctuary/SanctuaryAmbient.js:L240</t>
        </is>
      </c>
      <c r="E128" s="5" t="inlineStr">
        <is>
          <t>js/sanctuary/SanctuaryAmbient.js:L170; js/sanctuary/SanctuaryAmbient.js:L170</t>
        </is>
      </c>
      <c r="F128" s="5" t="inlineStr">
        <is>
          <t>Has receiver</t>
        </is>
      </c>
      <c r="G128" s="5" t="inlineStr"/>
    </row>
    <row r="129">
      <c r="A129" s="5" t="inlineStr">
        <is>
          <t>LMB-125</t>
        </is>
      </c>
      <c r="B129" s="5" t="inlineStr">
        <is>
          <t>DOM id lookup</t>
        </is>
      </c>
      <c r="C129" s="5" t="inlineStr">
        <is>
          <t>v4-banner</t>
        </is>
      </c>
      <c r="D129" s="5" t="inlineStr">
        <is>
          <t>index.html:L766</t>
        </is>
      </c>
      <c r="E129" s="5" t="inlineStr">
        <is>
          <t>index.html:L325</t>
        </is>
      </c>
      <c r="F129" s="5" t="inlineStr">
        <is>
          <t>Has receiver</t>
        </is>
      </c>
      <c r="G129" s="5" t="inlineStr"/>
    </row>
    <row r="130">
      <c r="A130" s="5" t="inlineStr">
        <is>
          <t>LMB-126</t>
        </is>
      </c>
      <c r="B130" s="5" t="inlineStr">
        <is>
          <t>DOM id lookup</t>
        </is>
      </c>
      <c r="C130" s="5" t="inlineStr">
        <is>
          <t>v4-btn-clear-scene</t>
        </is>
      </c>
      <c r="D130" s="5" t="inlineStr">
        <is>
          <t>js/sanctuary/SanctuaryToolPalette.js:L460</t>
        </is>
      </c>
      <c r="E130" s="5" t="inlineStr">
        <is>
          <t>js/sanctuary/SanctuaryToolPalette.js:L370; js/sanctuary/SanctuaryToolPalette.js:L370</t>
        </is>
      </c>
      <c r="F130" s="5" t="inlineStr">
        <is>
          <t>Has receiver</t>
        </is>
      </c>
      <c r="G130" s="5" t="inlineStr"/>
    </row>
    <row r="131">
      <c r="A131" s="5" t="inlineStr">
        <is>
          <t>LMB-127</t>
        </is>
      </c>
      <c r="B131" s="5" t="inlineStr">
        <is>
          <t>DOM id lookup</t>
        </is>
      </c>
      <c r="C131" s="5" t="inlineStr">
        <is>
          <t>v4-btn-gen-scene</t>
        </is>
      </c>
      <c r="D131" s="5" t="inlineStr">
        <is>
          <t>js/sanctuary/SanctuaryToolPalette.js:L453</t>
        </is>
      </c>
      <c r="E131" s="5" t="inlineStr">
        <is>
          <t>js/sanctuary/SanctuaryToolPalette.js:L365; js/sanctuary/SanctuaryToolPalette.js:L365</t>
        </is>
      </c>
      <c r="F131" s="5" t="inlineStr">
        <is>
          <t>Has receiver</t>
        </is>
      </c>
      <c r="G131" s="5" t="inlineStr"/>
    </row>
    <row r="132">
      <c r="A132" s="5" t="inlineStr">
        <is>
          <t>LMB-128</t>
        </is>
      </c>
      <c r="B132" s="5" t="inlineStr">
        <is>
          <t>DOM id lookup</t>
        </is>
      </c>
      <c r="C132" s="5" t="inlineStr">
        <is>
          <t>v4-btn-journal</t>
        </is>
      </c>
      <c r="D132" s="5" t="inlineStr">
        <is>
          <t>js/sanctuary/SanctuaryControls.js:L245</t>
        </is>
      </c>
      <c r="E132" s="5" t="inlineStr">
        <is>
          <t>js/sanctuary/SanctuaryControls.js:L171</t>
        </is>
      </c>
      <c r="F132" s="5" t="inlineStr">
        <is>
          <t>Has receiver</t>
        </is>
      </c>
      <c r="G132" s="5" t="inlineStr"/>
    </row>
    <row r="133">
      <c r="A133" s="5" t="inlineStr">
        <is>
          <t>LMB-129</t>
        </is>
      </c>
      <c r="B133" s="5" t="inlineStr">
        <is>
          <t>DOM id lookup</t>
        </is>
      </c>
      <c r="C133" s="5" t="inlineStr">
        <is>
          <t>v4-btn-panel</t>
        </is>
      </c>
      <c r="D133" s="5" t="inlineStr">
        <is>
          <t>js/sanctuary/SanctuaryControls.js:L240</t>
        </is>
      </c>
      <c r="E133" s="5" t="inlineStr">
        <is>
          <t>js/sanctuary/SanctuaryControls.js:L170</t>
        </is>
      </c>
      <c r="F133" s="5" t="inlineStr">
        <is>
          <t>Has receiver</t>
        </is>
      </c>
      <c r="G133" s="5" t="inlineStr"/>
    </row>
    <row r="134">
      <c r="A134" s="5" t="inlineStr">
        <is>
          <t>LMB-130</t>
        </is>
      </c>
      <c r="B134" s="5" t="inlineStr">
        <is>
          <t>DOM id lookup</t>
        </is>
      </c>
      <c r="C134" s="5" t="inlineStr">
        <is>
          <t>v4-btn-reset</t>
        </is>
      </c>
      <c r="D134" s="5" t="inlineStr">
        <is>
          <t>js/sanctuary/SanctuaryControls.js:L254</t>
        </is>
      </c>
      <c r="E134" s="5" t="inlineStr">
        <is>
          <t>js/sanctuary/SanctuaryControls.js:L174</t>
        </is>
      </c>
      <c r="F134" s="5" t="inlineStr">
        <is>
          <t>Has receiver</t>
        </is>
      </c>
      <c r="G134" s="5" t="inlineStr"/>
    </row>
    <row r="135">
      <c r="A135" s="5" t="inlineStr">
        <is>
          <t>LMB-131</t>
        </is>
      </c>
      <c r="B135" s="5" t="inlineStr">
        <is>
          <t>DOM id lookup</t>
        </is>
      </c>
      <c r="C135" s="5" t="inlineStr">
        <is>
          <t>v4-btn-save</t>
        </is>
      </c>
      <c r="D135" s="5" t="inlineStr">
        <is>
          <t>js/sanctuary/SanctuaryControls.js:L270</t>
        </is>
      </c>
      <c r="E135" s="5" t="inlineStr">
        <is>
          <t>js/sanctuary/SanctuaryControls.js:L175</t>
        </is>
      </c>
      <c r="F135" s="5" t="inlineStr">
        <is>
          <t>Has receiver</t>
        </is>
      </c>
      <c r="G135" s="5" t="inlineStr"/>
    </row>
    <row r="136">
      <c r="A136" s="5" t="inlineStr">
        <is>
          <t>LMB-132</t>
        </is>
      </c>
      <c r="B136" s="5" t="inlineStr">
        <is>
          <t>DOM id lookup</t>
        </is>
      </c>
      <c r="C136" s="5" t="inlineStr">
        <is>
          <t>v4-btn-top</t>
        </is>
      </c>
      <c r="D136" s="5" t="inlineStr">
        <is>
          <t>js/sanctuary/SanctuaryControls.js:L233</t>
        </is>
      </c>
      <c r="E136" s="5" t="inlineStr">
        <is>
          <t>js/sanctuary/SanctuaryControls.js:L169</t>
        </is>
      </c>
      <c r="F136" s="5" t="inlineStr">
        <is>
          <t>Has receiver</t>
        </is>
      </c>
      <c r="G136" s="5" t="inlineStr"/>
    </row>
    <row r="137">
      <c r="A137" s="5" t="inlineStr">
        <is>
          <t>LMB-133</t>
        </is>
      </c>
      <c r="B137" s="5" t="inlineStr">
        <is>
          <t>DOM id lookup</t>
        </is>
      </c>
      <c r="C137" s="5" t="inlineStr">
        <is>
          <t>v4-canvas</t>
        </is>
      </c>
      <c r="D137" s="5" t="inlineStr">
        <is>
          <t>index.html:L430; index.html:L891</t>
        </is>
      </c>
      <c r="E137" s="5" t="inlineStr">
        <is>
          <t>index.html:L291</t>
        </is>
      </c>
      <c r="F137" s="5" t="inlineStr">
        <is>
          <t>Has receiver</t>
        </is>
      </c>
      <c r="G137" s="5" t="inlineStr"/>
    </row>
    <row r="138">
      <c r="A138" s="5" t="inlineStr">
        <is>
          <t>LMB-134</t>
        </is>
      </c>
      <c r="B138" s="5" t="inlineStr">
        <is>
          <t>DOM id lookup</t>
        </is>
      </c>
      <c r="C138" s="5" t="inlineStr">
        <is>
          <t>v4-confirm-cancel</t>
        </is>
      </c>
      <c r="D138" s="5" t="inlineStr">
        <is>
          <t>js/sanctuary/SanctuaryControls.js:L257</t>
        </is>
      </c>
      <c r="E138" s="5" t="inlineStr">
        <is>
          <t>js/sanctuary/SanctuaryControls.js:L187</t>
        </is>
      </c>
      <c r="F138" s="5" t="inlineStr">
        <is>
          <t>Has receiver</t>
        </is>
      </c>
      <c r="G138" s="5" t="inlineStr"/>
    </row>
    <row r="139">
      <c r="A139" s="5" t="inlineStr">
        <is>
          <t>LMB-135</t>
        </is>
      </c>
      <c r="B139" s="5" t="inlineStr">
        <is>
          <t>DOM id lookup</t>
        </is>
      </c>
      <c r="C139" s="5" t="inlineStr">
        <is>
          <t>v4-confirm-yes</t>
        </is>
      </c>
      <c r="D139" s="5" t="inlineStr">
        <is>
          <t>js/sanctuary/SanctuaryControls.js:L260</t>
        </is>
      </c>
      <c r="E139" s="5" t="inlineStr">
        <is>
          <t>js/sanctuary/SanctuaryControls.js:L188</t>
        </is>
      </c>
      <c r="F139" s="5" t="inlineStr">
        <is>
          <t>Has receiver</t>
        </is>
      </c>
      <c r="G139" s="5" t="inlineStr"/>
    </row>
    <row r="140">
      <c r="A140" s="5" t="inlineStr">
        <is>
          <t>LMB-136</t>
        </is>
      </c>
      <c r="B140" s="5" t="inlineStr">
        <is>
          <t>DOM id lookup</t>
        </is>
      </c>
      <c r="C140" s="5" t="inlineStr">
        <is>
          <t>v4-controls</t>
        </is>
      </c>
      <c r="D140" s="5" t="inlineStr">
        <is>
          <t>js/sanctuary/SanctuaryAmbient.js:L189; js/sanctuary/SanctuaryDayNight.js:L89; js/sanctuary/SanctuaryWeather.js:L111</t>
        </is>
      </c>
      <c r="E140" s="5" t="inlineStr">
        <is>
          <t>js/sanctuary/SanctuaryControls.js:L158; js/sanctuary/SanctuaryControls.js:L158</t>
        </is>
      </c>
      <c r="F140" s="5" t="inlineStr">
        <is>
          <t>Has receiver</t>
        </is>
      </c>
      <c r="G140" s="5" t="inlineStr"/>
    </row>
    <row r="141">
      <c r="A141" s="5" t="inlineStr">
        <is>
          <t>LMB-137</t>
        </is>
      </c>
      <c r="B141" s="5" t="inlineStr">
        <is>
          <t>DOM id lookup</t>
        </is>
      </c>
      <c r="C141" s="5" t="inlineStr">
        <is>
          <t>v4-controls-style</t>
        </is>
      </c>
      <c r="D141" s="5" t="inlineStr">
        <is>
          <t>js/sanctuary/SanctuaryControls.js:L149; js/sanctuary/SanctuaryControls.js:L364</t>
        </is>
      </c>
      <c r="E141" s="5" t="inlineStr">
        <is>
          <t>js/sanctuary/SanctuaryControls.js:L151; js/sanctuary/SanctuaryControls.js:L151</t>
        </is>
      </c>
      <c r="F141" s="5" t="inlineStr">
        <is>
          <t>Has receiver</t>
        </is>
      </c>
      <c r="G141" s="5" t="inlineStr"/>
    </row>
    <row r="142">
      <c r="A142" s="5" t="inlineStr">
        <is>
          <t>LMB-138</t>
        </is>
      </c>
      <c r="B142" s="5" t="inlineStr">
        <is>
          <t>DOM id lookup</t>
        </is>
      </c>
      <c r="C142" s="5" t="inlineStr">
        <is>
          <t>v4-fishing-pip-glass-style</t>
        </is>
      </c>
      <c r="D142" s="5" t="inlineStr">
        <is>
          <t>js/sanctuary/SanctuaryFishing.js:L1012</t>
        </is>
      </c>
      <c r="E142" s="5" t="inlineStr">
        <is>
          <t>js/sanctuary/SanctuaryFishing.js:L1014; js/sanctuary/SanctuaryFishing.js:L1014</t>
        </is>
      </c>
      <c r="F142" s="5" t="inlineStr">
        <is>
          <t>Has receiver</t>
        </is>
      </c>
      <c r="G142" s="5" t="inlineStr"/>
    </row>
    <row r="143">
      <c r="A143" s="5" t="inlineStr">
        <is>
          <t>LMB-139</t>
        </is>
      </c>
      <c r="B143" s="5" t="inlineStr">
        <is>
          <t>DOM id lookup</t>
        </is>
      </c>
      <c r="C143" s="5" t="inlineStr">
        <is>
          <t>v4-inventory-style</t>
        </is>
      </c>
      <c r="D143" s="5" t="inlineStr">
        <is>
          <t>js/sanctuary/SanctuaryInventory.js:L96; js/sanctuary/SanctuaryInventory.js:L224</t>
        </is>
      </c>
      <c r="E143" s="5" t="inlineStr">
        <is>
          <t>js/sanctuary/SanctuaryInventory.js:L98; js/sanctuary/SanctuaryInventory.js:L98</t>
        </is>
      </c>
      <c r="F143" s="5" t="inlineStr">
        <is>
          <t>Has receiver</t>
        </is>
      </c>
      <c r="G143" s="5" t="inlineStr"/>
    </row>
    <row r="144">
      <c r="A144" s="5" t="inlineStr">
        <is>
          <t>LMB-140</t>
        </is>
      </c>
      <c r="B144" s="5" t="inlineStr">
        <is>
          <t>DOM id lookup</t>
        </is>
      </c>
      <c r="C144" s="5" t="inlineStr">
        <is>
          <t>v4-journal-frame</t>
        </is>
      </c>
      <c r="D144" s="5" t="inlineStr">
        <is>
          <t>index.html:L676</t>
        </is>
      </c>
      <c r="E144" s="5" t="inlineStr">
        <is>
          <t>index.html:L304</t>
        </is>
      </c>
      <c r="F144" s="5" t="inlineStr">
        <is>
          <t>Has receiver</t>
        </is>
      </c>
      <c r="G144" s="5" t="inlineStr"/>
    </row>
    <row r="145">
      <c r="A145" s="5" t="inlineStr">
        <is>
          <t>LMB-141</t>
        </is>
      </c>
      <c r="B145" s="5" t="inlineStr">
        <is>
          <t>DOM id lookup</t>
        </is>
      </c>
      <c r="C145" s="5" t="inlineStr">
        <is>
          <t>v4-journal-overlay</t>
        </is>
      </c>
      <c r="D145" s="5" t="inlineStr">
        <is>
          <t>js/sanctuary/SanctuaryKeyboardLook.js:L276; index.html:L675; index.html:L699</t>
        </is>
      </c>
      <c r="E145" s="5" t="inlineStr">
        <is>
          <t>index.html:L296</t>
        </is>
      </c>
      <c r="F145" s="5" t="inlineStr">
        <is>
          <t>Has receiver</t>
        </is>
      </c>
      <c r="G145" s="5" t="inlineStr"/>
    </row>
    <row r="146">
      <c r="A146" s="5" t="inlineStr">
        <is>
          <t>LMB-142</t>
        </is>
      </c>
      <c r="B146" s="5" t="inlineStr">
        <is>
          <t>DOM id lookup</t>
        </is>
      </c>
      <c r="C146" s="5" t="inlineStr">
        <is>
          <t>v4-journal-overlay-close</t>
        </is>
      </c>
      <c r="D146" s="5" t="inlineStr">
        <is>
          <t>index.html:L697</t>
        </is>
      </c>
      <c r="E146" s="5" t="inlineStr">
        <is>
          <t>index.html:L299</t>
        </is>
      </c>
      <c r="F146" s="5" t="inlineStr">
        <is>
          <t>Has receiver</t>
        </is>
      </c>
      <c r="G146" s="5" t="inlineStr"/>
    </row>
    <row r="147">
      <c r="A147" s="5" t="inlineStr">
        <is>
          <t>LMB-143</t>
        </is>
      </c>
      <c r="B147" s="5" t="inlineStr">
        <is>
          <t>DOM id lookup</t>
        </is>
      </c>
      <c r="C147" s="5" t="inlineStr">
        <is>
          <t>v4-loading-iframe</t>
        </is>
      </c>
      <c r="D147" s="5" t="inlineStr">
        <is>
          <t>index.html:L67; index.html:L383; index.html:L410</t>
        </is>
      </c>
      <c r="E147" s="5" t="inlineStr">
        <is>
          <t>index.html:L285</t>
        </is>
      </c>
      <c r="F147" s="5" t="inlineStr">
        <is>
          <t>Has receiver</t>
        </is>
      </c>
      <c r="G147" s="5" t="inlineStr"/>
    </row>
    <row r="148">
      <c r="A148" s="5" t="inlineStr">
        <is>
          <t>LMB-144</t>
        </is>
      </c>
      <c r="B148" s="5" t="inlineStr">
        <is>
          <t>DOM id lookup</t>
        </is>
      </c>
      <c r="C148" s="5" t="inlineStr">
        <is>
          <t>v4-map-type-select</t>
        </is>
      </c>
      <c r="D148" s="5" t="inlineStr">
        <is>
          <t>js/sanctuary/SanctuaryToolPalette.js:L411</t>
        </is>
      </c>
      <c r="E148" s="5" t="inlineStr">
        <is>
          <t>js/sanctuary/SanctuaryToolPalette.js:L308; js/sanctuary/SanctuaryToolPalette.js:L308</t>
        </is>
      </c>
      <c r="F148" s="5" t="inlineStr">
        <is>
          <t>Has receiver</t>
        </is>
      </c>
      <c r="G148" s="5" t="inlineStr"/>
    </row>
    <row r="149">
      <c r="A149" s="5" t="inlineStr">
        <is>
          <t>LMB-145</t>
        </is>
      </c>
      <c r="B149" s="5" t="inlineStr">
        <is>
          <t>DOM id lookup</t>
        </is>
      </c>
      <c r="C149" s="5" t="inlineStr">
        <is>
          <t>v4-panel-frame</t>
        </is>
      </c>
      <c r="D149" s="5" t="inlineStr">
        <is>
          <t>index.html:L725</t>
        </is>
      </c>
      <c r="E149" s="5" t="inlineStr">
        <is>
          <t>index.html:L320</t>
        </is>
      </c>
      <c r="F149" s="5" t="inlineStr">
        <is>
          <t>Has receiver</t>
        </is>
      </c>
      <c r="G149" s="5" t="inlineStr"/>
    </row>
    <row r="150">
      <c r="A150" s="5" t="inlineStr">
        <is>
          <t>LMB-146</t>
        </is>
      </c>
      <c r="B150" s="5" t="inlineStr">
        <is>
          <t>DOM id lookup</t>
        </is>
      </c>
      <c r="C150" s="5" t="inlineStr">
        <is>
          <t>v4-tool-cursor-style</t>
        </is>
      </c>
      <c r="D150" s="5" t="inlineStr">
        <is>
          <t>js/sanctuary/SanctuaryCursor.js:L66; js/sanctuary/SanctuaryCursor.js:L120</t>
        </is>
      </c>
      <c r="E150" s="5" t="inlineStr">
        <is>
          <t>js/sanctuary/SanctuaryCursor.js:L68; js/sanctuary/SanctuaryCursor.js:L68</t>
        </is>
      </c>
      <c r="F150" s="5" t="inlineStr">
        <is>
          <t>Has receiver</t>
        </is>
      </c>
      <c r="G150" s="5" t="inlineStr"/>
    </row>
    <row r="151">
      <c r="A151" s="5" t="inlineStr">
        <is>
          <t>LMB-147</t>
        </is>
      </c>
      <c r="B151" s="5" t="inlineStr">
        <is>
          <t>DOM id lookup</t>
        </is>
      </c>
      <c r="C151" s="5" t="inlineStr">
        <is>
          <t>v4-village-build-style</t>
        </is>
      </c>
      <c r="D151" s="5" t="inlineStr">
        <is>
          <t>js/sanctuary/SanctuaryToolPalette.js:L274; js/sanctuary/SanctuaryToolPalette.js:L516</t>
        </is>
      </c>
      <c r="E151" s="5" t="inlineStr">
        <is>
          <t>js/sanctuary/SanctuaryToolPalette.js:L276; js/sanctuary/SanctuaryToolPalette.js:L276</t>
        </is>
      </c>
      <c r="F151" s="5" t="inlineStr">
        <is>
          <t>Has receiver</t>
        </is>
      </c>
      <c r="G151" s="5" t="inlineStr"/>
    </row>
    <row r="152">
      <c r="A152" s="5" t="inlineStr">
        <is>
          <t>LMB-148</t>
        </is>
      </c>
      <c r="B152" s="5" t="inlineStr">
        <is>
          <t>DOM id lookup</t>
        </is>
      </c>
      <c r="C152" s="5" t="inlineStr">
        <is>
          <t>v4-walk-hide-style</t>
        </is>
      </c>
      <c r="D152" s="5" t="inlineStr">
        <is>
          <t>js/sanctuary/SanctuaryKeyboardLook.js:L93</t>
        </is>
      </c>
      <c r="E152" s="5" t="inlineStr">
        <is>
          <t>js/sanctuary/SanctuaryKeyboardLook.js:L95; js/sanctuary/SanctuaryKeyboardLook.js:L95</t>
        </is>
      </c>
      <c r="F152" s="5" t="inlineStr">
        <is>
          <t>Has receiver</t>
        </is>
      </c>
      <c r="G152" s="5" t="inlineStr"/>
    </row>
    <row r="153">
      <c r="A153" s="5" t="inlineStr">
        <is>
          <t>LMB-149</t>
        </is>
      </c>
      <c r="B153" s="5" t="inlineStr">
        <is>
          <t>Runtime service lookup</t>
        </is>
      </c>
      <c r="C153" s="5" t="inlineStr">
        <is>
          <t>PipOrthoBranchClip</t>
        </is>
      </c>
      <c r="D153" s="5" t="inlineStr">
        <is>
          <t>js/v2/Orchestrator.js:L1630</t>
        </is>
      </c>
      <c r="E153" s="5" t="inlineStr">
        <is>
          <t>js/v2/anu/PipOrthoRingDiskClip.js:L44</t>
        </is>
      </c>
      <c r="F153" s="5" t="inlineStr">
        <is>
          <t>Has receiver</t>
        </is>
      </c>
      <c r="G153" s="5" t="inlineStr"/>
    </row>
    <row r="154">
      <c r="A154" s="5" t="inlineStr">
        <is>
          <t>LMB-150</t>
        </is>
      </c>
      <c r="B154" s="5" t="inlineStr">
        <is>
          <t>Runtime service lookup</t>
        </is>
      </c>
      <c r="C154" s="5" t="inlineStr">
        <is>
          <t>WebFontsService</t>
        </is>
      </c>
      <c r="D154" s="5" t="inlineStr">
        <is>
          <t>js/v2/OrchestratorHud.js:L92</t>
        </is>
      </c>
      <c r="E154" s="5" t="inlineStr">
        <is>
          <t>js/v2/UIModule.js:L38</t>
        </is>
      </c>
      <c r="F154" s="5" t="inlineStr">
        <is>
          <t>Has receiver</t>
        </is>
      </c>
      <c r="G154" s="5" t="inlineStr"/>
    </row>
    <row r="155">
      <c r="A155" s="5" t="inlineStr">
        <is>
          <t>LMB-151</t>
        </is>
      </c>
      <c r="B155" s="5" t="inlineStr">
        <is>
          <t>Runtime service lookup</t>
        </is>
      </c>
      <c r="C155" s="5" t="inlineStr">
        <is>
          <t>WorldPlayer</t>
        </is>
      </c>
      <c r="D155" s="5" t="inlineStr">
        <is>
          <t>js/v2/Orchestrator.js:L1411; js/v2/UIModule.js:L231; js/v2/UIModule.js:L248</t>
        </is>
      </c>
      <c r="E155" s="5" t="inlineStr">
        <is>
          <t>js/sanctuary/SanctuaryWorldPlayerShim.js:L44</t>
        </is>
      </c>
      <c r="F155" s="5" t="inlineStr">
        <is>
          <t>Has receiver</t>
        </is>
      </c>
      <c r="G155" s="5" t="inlineStr"/>
    </row>
    <row r="156">
      <c r="A156" s="5" t="inlineStr">
        <is>
          <t>LMB-152</t>
        </is>
      </c>
      <c r="B156" s="5" t="inlineStr">
        <is>
          <t>postMessage type</t>
        </is>
      </c>
      <c r="C156" s="5" t="inlineStr">
        <is>
          <t>ADD_PAGE</t>
        </is>
      </c>
      <c r="D156" s="5" t="inlineStr">
        <is>
          <t>SacredGame.Panel.html:L2367; SacredGame.Panel.html:L2414</t>
        </is>
      </c>
      <c r="E156" s="5" t="inlineStr">
        <is>
          <t>js/components/Component.NewJournal.html:L1298; SacredGame.Journal.html:L504 (relay list)</t>
        </is>
      </c>
      <c r="F156" s="5" t="inlineStr">
        <is>
          <t>Has receiver</t>
        </is>
      </c>
      <c r="G156" s="5" t="inlineStr">
        <is>
          <t>Receiver may sit in another frame; both frames scanned</t>
        </is>
      </c>
    </row>
    <row r="157">
      <c r="A157" s="5" t="inlineStr">
        <is>
          <t>LMB-153</t>
        </is>
      </c>
      <c r="B157" s="5" t="inlineStr">
        <is>
          <t>postMessage type</t>
        </is>
      </c>
      <c r="C157" s="5" t="inlineStr">
        <is>
          <t>BOOT_ERROR</t>
        </is>
      </c>
      <c r="D157" s="5" t="inlineStr">
        <is>
          <t>index.html:L68</t>
        </is>
      </c>
      <c r="E157" s="5" t="inlineStr">
        <is>
          <t>js/components/Component.LoadingModal.html:L500</t>
        </is>
      </c>
      <c r="F157" s="5" t="inlineStr">
        <is>
          <t>Has receiver</t>
        </is>
      </c>
      <c r="G157" s="5" t="inlineStr">
        <is>
          <t>Receiver may sit in another frame; both frames scanned</t>
        </is>
      </c>
    </row>
    <row r="158">
      <c r="A158" s="5" t="inlineStr">
        <is>
          <t>LMB-154</t>
        </is>
      </c>
      <c r="B158" s="5" t="inlineStr">
        <is>
          <t>postMessage type</t>
        </is>
      </c>
      <c r="C158" s="5" t="inlineStr">
        <is>
          <t>CANVAS_CLICK</t>
        </is>
      </c>
      <c r="D158" s="5" t="inlineStr">
        <is>
          <t>SacredGame.Panel.html:L2896</t>
        </is>
      </c>
      <c r="E158" s="5" t="inlineStr">
        <is>
          <t>index.html:L885</t>
        </is>
      </c>
      <c r="F158" s="5" t="inlineStr">
        <is>
          <t>Has receiver</t>
        </is>
      </c>
      <c r="G158" s="5" t="inlineStr">
        <is>
          <t>Receiver may sit in another frame; both frames scanned</t>
        </is>
      </c>
    </row>
    <row r="159">
      <c r="A159" s="5" t="inlineStr">
        <is>
          <t>LMB-155</t>
        </is>
      </c>
      <c r="B159" s="5" t="inlineStr">
        <is>
          <t>postMessage type</t>
        </is>
      </c>
      <c r="C159" s="5" t="inlineStr">
        <is>
          <t>CLOSE_LOGBOOK</t>
        </is>
      </c>
      <c r="D159" s="5" t="inlineStr">
        <is>
          <t>SacredGame.Panel.html:L2067; SacredGame.Journal.html:L376</t>
        </is>
      </c>
      <c r="E159" s="5" t="inlineStr">
        <is>
          <t>index.html:L716; SacredGame.Panel.html:L2065; SacredGame.Journal.html:L455</t>
        </is>
      </c>
      <c r="F159" s="5" t="inlineStr">
        <is>
          <t>Has receiver</t>
        </is>
      </c>
      <c r="G159" s="5" t="inlineStr">
        <is>
          <t>Receiver may sit in another frame; both frames scanned</t>
        </is>
      </c>
    </row>
    <row r="160">
      <c r="A160" s="5" t="inlineStr">
        <is>
          <t>LMB-156</t>
        </is>
      </c>
      <c r="B160" s="5" t="inlineStr">
        <is>
          <t>postMessage type</t>
        </is>
      </c>
      <c r="C160" s="5" t="inlineStr">
        <is>
          <t>DO_OPEN_FLIP</t>
        </is>
      </c>
      <c r="D160" s="5" t="inlineStr">
        <is>
          <t>SacredGame.Journal.html:L350; SacredGame.Journal.html:L357</t>
        </is>
      </c>
      <c r="E160" s="5" t="inlineStr">
        <is>
          <t>js/components/Component.NewJournal.html:L1238; SacredGame.Journal.html:L504 (relay list)</t>
        </is>
      </c>
      <c r="F160" s="5" t="inlineStr">
        <is>
          <t>Has receiver</t>
        </is>
      </c>
      <c r="G160" s="5" t="inlineStr">
        <is>
          <t>Receiver may sit in another frame; both frames scanned</t>
        </is>
      </c>
    </row>
    <row r="161">
      <c r="A161" s="5" t="inlineStr">
        <is>
          <t>LMB-157</t>
        </is>
      </c>
      <c r="B161" s="5" t="inlineStr">
        <is>
          <t>postMessage type</t>
        </is>
      </c>
      <c r="C161" s="5" t="inlineStr">
        <is>
          <t>FISH_ACTION</t>
        </is>
      </c>
      <c r="D161" s="5" t="inlineStr">
        <is>
          <t>SacredGame.Panel.html:L2553</t>
        </is>
      </c>
      <c r="E161" s="5" t="inlineStr">
        <is>
          <t>index.html:L785</t>
        </is>
      </c>
      <c r="F161" s="5" t="inlineStr">
        <is>
          <t>Has receiver</t>
        </is>
      </c>
      <c r="G161" s="5" t="inlineStr">
        <is>
          <t>Receiver may sit in another frame; both frames scanned</t>
        </is>
      </c>
    </row>
    <row r="162">
      <c r="A162" s="5" t="inlineStr">
        <is>
          <t>LMB-158</t>
        </is>
      </c>
      <c r="B162" s="5" t="inlineStr">
        <is>
          <t>postMessage type</t>
        </is>
      </c>
      <c r="C162" s="5" t="inlineStr">
        <is>
          <t>FORCE_OPEN_JOURNAL</t>
        </is>
      </c>
      <c r="D162" s="5" t="inlineStr">
        <is>
          <t>index.html:L689</t>
        </is>
      </c>
      <c r="E162" s="5" t="inlineStr">
        <is>
          <t>SacredGame.Journal.html:L430; SacredGame.Panel.html:L2224 (relay list)</t>
        </is>
      </c>
      <c r="F162" s="5" t="inlineStr">
        <is>
          <t>Has receiver</t>
        </is>
      </c>
      <c r="G162" s="5" t="inlineStr">
        <is>
          <t>Receiver may sit in another frame; both frames scanned</t>
        </is>
      </c>
    </row>
    <row r="163">
      <c r="A163" s="5" t="inlineStr">
        <is>
          <t>LMB-159</t>
        </is>
      </c>
      <c r="B163" s="5" t="inlineStr">
        <is>
          <t>postMessage type</t>
        </is>
      </c>
      <c r="C163" s="5" t="inlineStr">
        <is>
          <t>GO_TO_PAGE</t>
        </is>
      </c>
      <c r="D163" s="5" t="inlineStr">
        <is>
          <t>SacredGame.Panel.html:L2340; SacredGame.Journal.html:L436; SacredGame.Journal.html:L469; SacredGame.Journal.html:L479; SacredGame.Journal.html:L498</t>
        </is>
      </c>
      <c r="E163" s="5" t="inlineStr">
        <is>
          <t>js/components/Component.NewJournal.html:L1243; SacredGame.Journal.html:L504 (relay list)</t>
        </is>
      </c>
      <c r="F163" s="5" t="inlineStr">
        <is>
          <t>Has receiver</t>
        </is>
      </c>
      <c r="G163" s="5" t="inlineStr">
        <is>
          <t>Receiver may sit in another frame; both frames scanned</t>
        </is>
      </c>
    </row>
    <row r="164">
      <c r="A164" s="5" t="inlineStr">
        <is>
          <t>LMB-160</t>
        </is>
      </c>
      <c r="B164" s="5" t="inlineStr">
        <is>
          <t>postMessage type</t>
        </is>
      </c>
      <c r="C164" s="5" t="inlineStr">
        <is>
          <t>JOURNAL_CLOSED</t>
        </is>
      </c>
      <c r="D164" s="5" t="inlineStr">
        <is>
          <t>SacredGame.Journal.html:L374</t>
        </is>
      </c>
      <c r="E164" s="5" t="inlineStr">
        <is>
          <t>js/sanctuary/SanctuaryJournalBridge.js:L106; js/sanctuary/SanctuaryJournalBridge.js:L109; SacredGame.Panel.html:L2104</t>
        </is>
      </c>
      <c r="F164" s="5" t="inlineStr">
        <is>
          <t>Has receiver</t>
        </is>
      </c>
      <c r="G164" s="5" t="inlineStr">
        <is>
          <t>Receiver may sit in another frame; both frames scanned</t>
        </is>
      </c>
    </row>
    <row r="165">
      <c r="A165" s="5" t="inlineStr">
        <is>
          <t>LMB-161</t>
        </is>
      </c>
      <c r="B165" s="5" t="inlineStr">
        <is>
          <t>postMessage type</t>
        </is>
      </c>
      <c r="C165" s="5" t="inlineStr">
        <is>
          <t>JOURNAL_OPENED</t>
        </is>
      </c>
      <c r="D165" s="5" t="inlineStr">
        <is>
          <t>SacredGame.Journal.html:L364</t>
        </is>
      </c>
      <c r="E165" s="5" t="inlineStr">
        <is>
          <t>js/sanctuary/SanctuaryJournalBridge.js:L106; js/sanctuary/SanctuaryJournalBridge.js:L107; SacredGame.Panel.html:L2094</t>
        </is>
      </c>
      <c r="F165" s="5" t="inlineStr">
        <is>
          <t>Has receiver</t>
        </is>
      </c>
      <c r="G165" s="5" t="inlineStr">
        <is>
          <t>Receiver may sit in another frame; both frames scanned</t>
        </is>
      </c>
    </row>
    <row r="166">
      <c r="A166" s="5" t="inlineStr">
        <is>
          <t>LMB-162</t>
        </is>
      </c>
      <c r="B166" s="5" t="inlineStr">
        <is>
          <t>postMessage type</t>
        </is>
      </c>
      <c r="C166" s="5" t="inlineStr">
        <is>
          <t>KEY_FORWARD</t>
        </is>
      </c>
      <c r="D166" s="5" t="inlineStr">
        <is>
          <t>SacredGame.Panel.html:L2024; SacredGame.Panel.html:L2731; SacredGame.Panel.html:L2740; SacredGame.Journal.html:L616; SacredGame.Journal.html:L620</t>
        </is>
      </c>
      <c r="E166" s="5" t="inlineStr">
        <is>
          <t>SacredGame.Panel.html:L2459</t>
        </is>
      </c>
      <c r="F166" s="5" t="inlineStr">
        <is>
          <t>Has receiver</t>
        </is>
      </c>
      <c r="G166" s="5" t="inlineStr">
        <is>
          <t>Receiver may sit in another frame; both frames scanned</t>
        </is>
      </c>
    </row>
    <row r="167">
      <c r="A167" s="5" t="inlineStr">
        <is>
          <t>LMB-163</t>
        </is>
      </c>
      <c r="B167" s="5" t="inlineStr">
        <is>
          <t>postMessage type</t>
        </is>
      </c>
      <c r="C167" s="5" t="inlineStr">
        <is>
          <t>LOGBOOK_ASPECT</t>
        </is>
      </c>
      <c r="D167" s="5" t="inlineStr">
        <is>
          <t>SacredGame.Journal.html:L244; SacredGame.Journal.html:L262</t>
        </is>
      </c>
      <c r="E167" s="5" t="inlineStr">
        <is>
          <t>SacredGame.Journal.html:L504 (relay list)</t>
        </is>
      </c>
      <c r="F167" s="5" t="inlineStr">
        <is>
          <t>Has receiver</t>
        </is>
      </c>
      <c r="G167" s="5" t="inlineStr">
        <is>
          <t>Receiver may sit in another frame; both frames scanned</t>
        </is>
      </c>
    </row>
    <row r="168">
      <c r="A168" s="5" t="inlineStr">
        <is>
          <t>LMB-164</t>
        </is>
      </c>
      <c r="B168" s="5" t="inlineStr">
        <is>
          <t>postMessage type</t>
        </is>
      </c>
      <c r="C168" s="5" t="inlineStr">
        <is>
          <t>LOGBOOK_VISIBILITY</t>
        </is>
      </c>
      <c r="D168" s="5" t="inlineStr">
        <is>
          <t>SacredGame.Journal.html:L365; SacredGame.Journal.html:L375</t>
        </is>
      </c>
      <c r="E168" s="5" t="inlineStr">
        <is>
          <t>js/sanctuary/SanctuaryJournalBridge.js:L106</t>
        </is>
      </c>
      <c r="F168" s="5" t="inlineStr">
        <is>
          <t>Has receiver</t>
        </is>
      </c>
      <c r="G168" s="5" t="inlineStr">
        <is>
          <t>Receiver may sit in another frame; both frames scanned</t>
        </is>
      </c>
    </row>
    <row r="169">
      <c r="A169" s="5" t="inlineStr">
        <is>
          <t>LMB-165</t>
        </is>
      </c>
      <c r="B169" s="5" t="inlineStr">
        <is>
          <t>postMessage type</t>
        </is>
      </c>
      <c r="C169" s="5" t="inlineStr">
        <is>
          <t>OPEN_LOGBOOK</t>
        </is>
      </c>
      <c r="D169" s="5" t="inlineStr">
        <is>
          <t>SacredGame.Panel.html:L2102</t>
        </is>
      </c>
      <c r="E169" s="5" t="inlineStr">
        <is>
          <t>SacredGame.Journal.html:L430</t>
        </is>
      </c>
      <c r="F169" s="5" t="inlineStr">
        <is>
          <t>Has receiver</t>
        </is>
      </c>
      <c r="G169" s="5" t="inlineStr">
        <is>
          <t>Receiver may sit in another frame; both frames scanned</t>
        </is>
      </c>
    </row>
    <row r="170">
      <c r="A170" s="5" t="inlineStr">
        <is>
          <t>LMB-166</t>
        </is>
      </c>
      <c r="B170" s="5" t="inlineStr">
        <is>
          <t>postMessage type</t>
        </is>
      </c>
      <c r="C170" s="5" t="inlineStr">
        <is>
          <t>QUEST_AUTOWALK</t>
        </is>
      </c>
      <c r="D170" s="5" t="inlineStr">
        <is>
          <t>SacredGame.Panel.html:L2476</t>
        </is>
      </c>
      <c r="E170" s="5" t="inlineStr">
        <is>
          <t>SacredGame.Panel.html:L2089</t>
        </is>
      </c>
      <c r="F170" s="5" t="inlineStr">
        <is>
          <t>Has receiver</t>
        </is>
      </c>
      <c r="G170" s="5" t="inlineStr">
        <is>
          <t>Receiver may sit in another frame; both frames scanned</t>
        </is>
      </c>
    </row>
    <row r="171">
      <c r="A171" s="5" t="inlineStr">
        <is>
          <t>LMB-167</t>
        </is>
      </c>
      <c r="B171" s="5" t="inlineStr">
        <is>
          <t>postMessage type</t>
        </is>
      </c>
      <c r="C171" s="5" t="inlineStr">
        <is>
          <t>REQ_ALIGN_TIPI</t>
        </is>
      </c>
      <c r="D171" s="5" t="inlineStr">
        <is>
          <t>js/components/Component.NewJournal.html:L1143</t>
        </is>
      </c>
      <c r="E171" s="5" t="inlineStr">
        <is>
          <t>SacredGame.Journal.html:L558; SacredGame.Panel.html:L2469 (relay list)</t>
        </is>
      </c>
      <c r="F171" s="5" t="inlineStr">
        <is>
          <t>Has receiver</t>
        </is>
      </c>
      <c r="G171" s="5" t="inlineStr">
        <is>
          <t>Receiver may sit in another frame; both frames scanned</t>
        </is>
      </c>
    </row>
    <row r="172">
      <c r="A172" s="5" t="inlineStr">
        <is>
          <t>LMB-168</t>
        </is>
      </c>
      <c r="B172" s="5" t="inlineStr">
        <is>
          <t>postMessage type</t>
        </is>
      </c>
      <c r="C172" s="5" t="inlineStr">
        <is>
          <t>REQ_AUTOWALK_TO_ENTITY</t>
        </is>
      </c>
      <c r="D172" s="5" t="inlineStr">
        <is>
          <t>SacredGame.Panel.html:L2364</t>
        </is>
      </c>
      <c r="E172" s="5" t="inlineStr">
        <is>
          <t>SacredGame.Panel.html:L2267</t>
        </is>
      </c>
      <c r="F172" s="5" t="inlineStr">
        <is>
          <t>Has receiver</t>
        </is>
      </c>
      <c r="G172" s="5" t="inlineStr">
        <is>
          <t>Receiver may sit in another frame; both frames scanned</t>
        </is>
      </c>
    </row>
    <row r="173">
      <c r="A173" s="5" t="inlineStr">
        <is>
          <t>LMB-169</t>
        </is>
      </c>
      <c r="B173" s="5" t="inlineStr">
        <is>
          <t>postMessage type</t>
        </is>
      </c>
      <c r="C173" s="5" t="inlineStr">
        <is>
          <t>REQ_HIDE_AXE</t>
        </is>
      </c>
      <c r="D173" s="5" t="inlineStr">
        <is>
          <t>js/components/Component.NewJournal.html:L648; js/components/Component.NewJournal.html:L1152; js/components/Component.NewJournal.html:L1165</t>
        </is>
      </c>
      <c r="E173" s="5" t="inlineStr">
        <is>
          <t>SacredGame.Journal.html:L550; SacredGame.Panel.html:L2469 (relay list)</t>
        </is>
      </c>
      <c r="F173" s="5" t="inlineStr">
        <is>
          <t>Has receiver</t>
        </is>
      </c>
      <c r="G173" s="5" t="inlineStr">
        <is>
          <t>Receiver may sit in another frame; both frames scanned</t>
        </is>
      </c>
    </row>
    <row r="174">
      <c r="A174" s="5" t="inlineStr">
        <is>
          <t>LMB-170</t>
        </is>
      </c>
      <c r="B174" s="5" t="inlineStr">
        <is>
          <t>postMessage type</t>
        </is>
      </c>
      <c r="C174" s="5" t="inlineStr">
        <is>
          <t>REQ_HIDE_TIPI</t>
        </is>
      </c>
      <c r="D174" s="5" t="inlineStr">
        <is>
          <t>SacredGame.Journal.html:L377; js/components/Component.NewJournal.html:L647; js/components/Component.NewJournal.html:L1127; js/components/Component.NewJournal.html:L1145</t>
        </is>
      </c>
      <c r="E174" s="5" t="inlineStr">
        <is>
          <t>SacredGame.Journal.html:L579; SacredGame.Panel.html:L2469 (relay list)</t>
        </is>
      </c>
      <c r="F174" s="5" t="inlineStr">
        <is>
          <t>Has receiver</t>
        </is>
      </c>
      <c r="G174" s="5" t="inlineStr">
        <is>
          <t>Receiver may sit in another frame; both frames scanned</t>
        </is>
      </c>
    </row>
    <row r="175">
      <c r="A175" s="5" t="inlineStr">
        <is>
          <t>LMB-171</t>
        </is>
      </c>
      <c r="B175" s="5" t="inlineStr">
        <is>
          <t>postMessage type</t>
        </is>
      </c>
      <c r="C175" s="5" t="inlineStr">
        <is>
          <t>REQ_START_AUTO_WALK</t>
        </is>
      </c>
      <c r="D175" s="5" t="inlineStr">
        <is>
          <t>SacredGame.Panel.html:L2086; SacredGame.Panel.html:L2348</t>
        </is>
      </c>
      <c r="E175" s="5" t="inlineStr">
        <is>
          <t>index.html:L901</t>
        </is>
      </c>
      <c r="F175" s="5" t="inlineStr">
        <is>
          <t>Has receiver</t>
        </is>
      </c>
      <c r="G175" s="5" t="inlineStr">
        <is>
          <t>Receiver may sit in another frame; both frames scanned</t>
        </is>
      </c>
    </row>
    <row r="176">
      <c r="A176" s="5" t="inlineStr">
        <is>
          <t>LMB-172</t>
        </is>
      </c>
      <c r="B176" s="5" t="inlineStr">
        <is>
          <t>postMessage type</t>
        </is>
      </c>
      <c r="C176" s="5" t="inlineStr">
        <is>
          <t>REQ_TOGGLE_JOURNAL</t>
        </is>
      </c>
      <c r="D176" s="5" t="inlineStr">
        <is>
          <t>SacredGame.Panel.html:L2571</t>
        </is>
      </c>
      <c r="E176" s="5" t="inlineStr">
        <is>
          <t>index.html:L751</t>
        </is>
      </c>
      <c r="F176" s="5" t="inlineStr">
        <is>
          <t>Has receiver</t>
        </is>
      </c>
      <c r="G176" s="5" t="inlineStr">
        <is>
          <t>Receiver may sit in another frame; both frames scanned</t>
        </is>
      </c>
    </row>
    <row r="177">
      <c r="A177" s="5" t="inlineStr">
        <is>
          <t>LMB-173</t>
        </is>
      </c>
      <c r="B177" s="5" t="inlineStr">
        <is>
          <t>postMessage type</t>
        </is>
      </c>
      <c r="C177" s="5" t="inlineStr">
        <is>
          <t>REQ_TOGGLE_LOGBOOK</t>
        </is>
      </c>
      <c r="D177" s="5" t="inlineStr">
        <is>
          <t>js/components/Component.NewJournal.html:L650</t>
        </is>
      </c>
      <c r="E177" s="5" t="inlineStr">
        <is>
          <t>index.html:L717; SacredGame.Panel.html:L2261; SacredGame.Journal.html:L424</t>
        </is>
      </c>
      <c r="F177" s="5" t="inlineStr">
        <is>
          <t>Has receiver</t>
        </is>
      </c>
      <c r="G177" s="5" t="inlineStr">
        <is>
          <t>Receiver may sit in another frame; both frames scanned</t>
        </is>
      </c>
    </row>
    <row r="178">
      <c r="A178" s="5" t="inlineStr">
        <is>
          <t>LMB-174</t>
        </is>
      </c>
      <c r="B178" s="5" t="inlineStr">
        <is>
          <t>postMessage type</t>
        </is>
      </c>
      <c r="C178" s="5" t="inlineStr">
        <is>
          <t>RETURN_TO_GAME</t>
        </is>
      </c>
      <c r="D178" s="5" t="inlineStr">
        <is>
          <t>js/components/Component.NewJournal.html:L651</t>
        </is>
      </c>
      <c r="E178" s="5" t="inlineStr">
        <is>
          <t>index.html:L716</t>
        </is>
      </c>
      <c r="F178" s="5" t="inlineStr">
        <is>
          <t>Has receiver</t>
        </is>
      </c>
      <c r="G178" s="5" t="inlineStr">
        <is>
          <t>Receiver may sit in another frame; both frames scanned</t>
        </is>
      </c>
    </row>
    <row r="179">
      <c r="A179" s="5" t="inlineStr">
        <is>
          <t>LMB-175</t>
        </is>
      </c>
      <c r="B179" s="5" t="inlineStr">
        <is>
          <t>postMessage type</t>
        </is>
      </c>
      <c r="C179" s="5" t="inlineStr">
        <is>
          <t>SWITCH_TAB</t>
        </is>
      </c>
      <c r="D179" s="5" t="inlineStr">
        <is>
          <t>SacredGame.Panel.html:L2339; SacredGame.Panel.html:L2356; SacredGame.Panel.html:L2377; SacredGame.Panel.html:L2426; SacredGame.Journal.html:L489</t>
        </is>
      </c>
      <c r="E179" s="5" t="inlineStr">
        <is>
          <t>js/components/Component.NewJournal.html:L1250; SacredGame.Journal.html:L504 (relay list)</t>
        </is>
      </c>
      <c r="F179" s="5" t="inlineStr">
        <is>
          <t>Has receiver</t>
        </is>
      </c>
      <c r="G179" s="5" t="inlineStr">
        <is>
          <t>Receiver may sit in another frame; both frames scanned</t>
        </is>
      </c>
    </row>
    <row r="180">
      <c r="A180" s="5" t="inlineStr">
        <is>
          <t>LMB-176</t>
        </is>
      </c>
      <c r="B180" s="5" t="inlineStr">
        <is>
          <t>postMessage type</t>
        </is>
      </c>
      <c r="C180" s="5" t="inlineStr">
        <is>
          <t>THUMB_MOVE</t>
        </is>
      </c>
      <c r="D180" s="5" t="inlineStr">
        <is>
          <t>SacredGame.Panel.html:L1841; SacredGame.Panel.html:L1855</t>
        </is>
      </c>
      <c r="E180" s="5" t="inlineStr">
        <is>
          <t>index.html:L882</t>
        </is>
      </c>
      <c r="F180" s="5" t="inlineStr">
        <is>
          <t>Has receiver</t>
        </is>
      </c>
      <c r="G180" s="5" t="inlineStr">
        <is>
          <t>Receiver may sit in another frame; both frames scanned</t>
        </is>
      </c>
    </row>
    <row r="181">
      <c r="A181" s="5" t="inlineStr">
        <is>
          <t>LMB-177</t>
        </is>
      </c>
      <c r="B181" s="5" t="inlineStr">
        <is>
          <t>postMessage type</t>
        </is>
      </c>
      <c r="C181" s="5" t="inlineStr">
        <is>
          <t>TOGGLE_VIEW_MODE</t>
        </is>
      </c>
      <c r="D181" s="5" t="inlineStr">
        <is>
          <t>js/v2/UIModule.js:L233; js/components/Component.NewJournal.html:L815</t>
        </is>
      </c>
      <c r="E181" s="5" t="inlineStr">
        <is>
          <t>index.html:L876</t>
        </is>
      </c>
      <c r="F181" s="5" t="inlineStr">
        <is>
          <t>Has receiver</t>
        </is>
      </c>
      <c r="G181" s="5" t="inlineStr">
        <is>
          <t>Receiver may sit in another frame; both frames scanned</t>
        </is>
      </c>
    </row>
    <row r="182">
      <c r="A182" s="5" t="inlineStr">
        <is>
          <t>LMB-178</t>
        </is>
      </c>
      <c r="B182" s="5" t="inlineStr">
        <is>
          <t>postMessage type</t>
        </is>
      </c>
      <c r="C182" s="5" t="inlineStr">
        <is>
          <t>VIDEO_READY</t>
        </is>
      </c>
      <c r="D182" s="5" t="inlineStr">
        <is>
          <t>js/components/Component.LoadingModal.html:L275</t>
        </is>
      </c>
      <c r="E182" s="5" t="inlineStr">
        <is>
          <t>index.html:L417</t>
        </is>
      </c>
      <c r="F182" s="5" t="inlineStr">
        <is>
          <t>Has receiver</t>
        </is>
      </c>
      <c r="G182" s="5" t="inlineStr">
        <is>
          <t>Receiver may sit in another frame; both frames scanned</t>
        </is>
      </c>
    </row>
    <row r="183">
      <c r="A183" s="5" t="inlineStr">
        <is>
          <t>LMB-179</t>
        </is>
      </c>
      <c r="B183" s="5" t="inlineStr">
        <is>
          <t>postMessage type</t>
        </is>
      </c>
      <c r="C183" s="5" t="inlineStr">
        <is>
          <t>VISIBILITY_CHANGE</t>
        </is>
      </c>
      <c r="D183" s="5" t="inlineStr">
        <is>
          <t>index.html:L690; index.html:L730; SacredGame.Journal.html:L351; SacredGame.Journal.html:L358; SacredGame.Journal.html:L370</t>
        </is>
      </c>
      <c r="E183" s="5" t="inlineStr">
        <is>
          <t>js/components/Component.NewJournal.html:L1225; SacredGame.Journal.html:L504 (relay list)</t>
        </is>
      </c>
      <c r="F183" s="5" t="inlineStr">
        <is>
          <t>Has receiver</t>
        </is>
      </c>
      <c r="G183" s="5" t="inlineStr">
        <is>
          <t>Receiver may sit in another frame; both frames scanned</t>
        </is>
      </c>
    </row>
    <row r="184">
      <c r="A184" s="5" t="inlineStr">
        <is>
          <t>LMB-180</t>
        </is>
      </c>
      <c r="B184" s="5" t="inlineStr">
        <is>
          <t>postMessage type</t>
        </is>
      </c>
      <c r="C184" s="5" t="inlineStr">
        <is>
          <t>VOLUME_CHANGE</t>
        </is>
      </c>
      <c r="D184" s="5" t="inlineStr">
        <is>
          <t>SacredGame.Panel.html:L2450; SacredGame.Panel.html:L2452</t>
        </is>
      </c>
      <c r="E184" s="5" t="inlineStr">
        <is>
          <t>SacredGame.Panel.html:L2456</t>
        </is>
      </c>
      <c r="F184" s="5" t="inlineStr">
        <is>
          <t>Has receiver</t>
        </is>
      </c>
      <c r="G184" s="5" t="inlineStr">
        <is>
          <t>Receiver may sit in another frame; both frames scanned</t>
        </is>
      </c>
    </row>
    <row r="185">
      <c r="A185" s="5" t="inlineStr">
        <is>
          <t>LMB-181</t>
        </is>
      </c>
      <c r="B185" s="5" t="inlineStr">
        <is>
          <t>window.* function call</t>
        </is>
      </c>
      <c r="C185" s="5" t="inlineStr">
        <is>
          <t>__regenerateBraziers</t>
        </is>
      </c>
      <c r="D185" s="5" t="inlineStr">
        <is>
          <t>js/sanctuary/SanctuaryToolPalette.js:L438</t>
        </is>
      </c>
      <c r="E185" s="5" t="inlineStr">
        <is>
          <t>js/sanctuary/SanctuaryBraziers.js:L315</t>
        </is>
      </c>
      <c r="F185" s="5" t="inlineStr">
        <is>
          <t>Has receiver</t>
        </is>
      </c>
      <c r="G185" s="5" t="inlineStr"/>
    </row>
    <row r="186">
      <c r="A186" s="5" t="inlineStr">
        <is>
          <t>LMB-182</t>
        </is>
      </c>
      <c r="B186" s="5" t="inlineStr">
        <is>
          <t>window.* function call</t>
        </is>
      </c>
      <c r="C186" s="5" t="inlineStr">
        <is>
          <t>__regenerateDock</t>
        </is>
      </c>
      <c r="D186" s="5" t="inlineStr">
        <is>
          <t>js/sanctuary/SanctuaryToolPalette.js:L448</t>
        </is>
      </c>
      <c r="E186" s="5" t="inlineStr">
        <is>
          <t>js/sanctuary/SanctuaryDock.js:L458</t>
        </is>
      </c>
      <c r="F186" s="5" t="inlineStr">
        <is>
          <t>Has receiver</t>
        </is>
      </c>
      <c r="G186" s="5" t="inlineStr"/>
    </row>
    <row r="187">
      <c r="A187" s="5" t="inlineStr">
        <is>
          <t>LMB-183</t>
        </is>
      </c>
      <c r="B187" s="5" t="inlineStr">
        <is>
          <t>window.* function call</t>
        </is>
      </c>
      <c r="C187" s="5" t="inlineStr">
        <is>
          <t>__regenerateTipiNpcs</t>
        </is>
      </c>
      <c r="D187" s="5" t="inlineStr">
        <is>
          <t>js/sanctuary/SanctuaryToolPalette.js:L433</t>
        </is>
      </c>
      <c r="E187" s="5" t="inlineStr">
        <is>
          <t>js/sanctuary/SanctuaryTipiNpcs.js:L290</t>
        </is>
      </c>
      <c r="F187" s="5" t="inlineStr">
        <is>
          <t>Has receiver</t>
        </is>
      </c>
      <c r="G187" s="5" t="inlineStr"/>
    </row>
    <row r="188">
      <c r="A188" s="5" t="inlineStr">
        <is>
          <t>LMB-184</t>
        </is>
      </c>
      <c r="B188" s="5" t="inlineStr">
        <is>
          <t>window.* function call</t>
        </is>
      </c>
      <c r="C188" s="5" t="inlineStr">
        <is>
          <t>__regenerateTipis</t>
        </is>
      </c>
      <c r="D188" s="5" t="inlineStr">
        <is>
          <t>js/sanctuary/SanctuaryToolPalette.js:L428</t>
        </is>
      </c>
      <c r="E188" s="5" t="inlineStr">
        <is>
          <t>js/sanctuary/SanctuaryTipis.js:L336</t>
        </is>
      </c>
      <c r="F188" s="5" t="inlineStr">
        <is>
          <t>Has receiver</t>
        </is>
      </c>
      <c r="G188" s="5" t="inlineStr"/>
    </row>
    <row r="189">
      <c r="A189" s="5" t="inlineStr">
        <is>
          <t>LMB-185</t>
        </is>
      </c>
      <c r="B189" s="5" t="inlineStr">
        <is>
          <t>window.* function call</t>
        </is>
      </c>
      <c r="C189" s="5" t="inlineStr">
        <is>
          <t>__sanctuaryFishingSpawnRipple</t>
        </is>
      </c>
      <c r="D189" s="5" t="inlineStr">
        <is>
          <t>js/sanctuary/SanctuaryFish.js:L1209; js/sanctuary/SanctuaryFish.js:L1258; js/sanctuary/SanctuaryFish.js:L1342; js/sanctuary/SanctuaryFishing.js:L2230</t>
        </is>
      </c>
      <c r="E189" s="5" t="inlineStr">
        <is>
          <t>js/sanctuary/SanctuaryFishing.js:L991</t>
        </is>
      </c>
      <c r="F189" s="5" t="inlineStr">
        <is>
          <t>Has receiver</t>
        </is>
      </c>
      <c r="G189" s="5" t="inlineStr"/>
    </row>
    <row r="190">
      <c r="A190" s="5" t="inlineStr">
        <is>
          <t>LMB-186</t>
        </is>
      </c>
      <c r="B190" s="5" t="inlineStr">
        <is>
          <t>window.* function call</t>
        </is>
      </c>
      <c r="C190" s="5" t="inlineStr">
        <is>
          <t>__sanctuarySpawnBabyFish</t>
        </is>
      </c>
      <c r="D190" s="5" t="inlineStr">
        <is>
          <t>js/sanctuary/SanctuaryFish.js:L604; js/sanctuary/SanctuaryFishing.js:L2439</t>
        </is>
      </c>
      <c r="E190" s="5" t="inlineStr">
        <is>
          <t>js/sanctuary/SanctuaryFish.js:L547</t>
        </is>
      </c>
      <c r="F190" s="5" t="inlineStr">
        <is>
          <t>Has receiver</t>
        </is>
      </c>
      <c r="G190" s="5" t="inlineStr"/>
    </row>
    <row r="191">
      <c r="A191" s="5" t="inlineStr">
        <is>
          <t>LMB-187</t>
        </is>
      </c>
      <c r="B191" s="5" t="inlineStr">
        <is>
          <t>window.* function call</t>
        </is>
      </c>
      <c r="C191" s="5" t="inlineStr">
        <is>
          <t>_v4CancelClickToMove</t>
        </is>
      </c>
      <c r="D191" s="5" t="inlineStr">
        <is>
          <t>js/sanctuary/SanctuaryFishing.js:L1521; js/sanctuary/SanctuaryFishing.js:L2641; js/sanctuary/SanctuaryKeyboardLook.js:L80; js/sanctuary/SanctuaryKeyboardLook.js:L136; js/sanctuary/SanctuaryKeyboardLook.js:L170; index.html:L828; index.html:L904</t>
        </is>
      </c>
      <c r="E191" s="5" t="inlineStr">
        <is>
          <t>js/sanctuary/SanctuaryClickToMove.js:L223</t>
        </is>
      </c>
      <c r="F191" s="5" t="inlineStr">
        <is>
          <t>Has receiver</t>
        </is>
      </c>
      <c r="G191" s="5" t="inlineStr"/>
    </row>
    <row r="192">
      <c r="A192" s="5" t="inlineStr">
        <is>
          <t>LMB-188</t>
        </is>
      </c>
      <c r="B192" s="5" t="inlineStr">
        <is>
          <t>window.* function call</t>
        </is>
      </c>
      <c r="C192" s="5" t="inlineStr">
        <is>
          <t>_v4SmartWalkTo</t>
        </is>
      </c>
      <c r="D192" s="5" t="inlineStr">
        <is>
          <t>index.html:L854; index.html:L858</t>
        </is>
      </c>
      <c r="E192" s="5" t="inlineStr">
        <is>
          <t>js/sanctuary/SanctuaryClickToMove.js:L252</t>
        </is>
      </c>
      <c r="F192" s="5" t="inlineStr">
        <is>
          <t>Has receiver</t>
        </is>
      </c>
      <c r="G192" s="5" t="inlineStr"/>
    </row>
    <row r="193">
      <c r="A193" s="5" t="inlineStr">
        <is>
          <t>LMB-189</t>
        </is>
      </c>
      <c r="B193" s="5" t="inlineStr">
        <is>
          <t>window.* function call</t>
        </is>
      </c>
      <c r="C193" s="5" t="inlineStr">
        <is>
          <t>_v4StartFishing</t>
        </is>
      </c>
      <c r="D193" s="5" t="inlineStr">
        <is>
          <t>index.html:L832</t>
        </is>
      </c>
      <c r="E193" s="5" t="inlineStr">
        <is>
          <t>js/sanctuary/SanctuaryFishing.js:L1272</t>
        </is>
      </c>
      <c r="F193" s="5" t="inlineStr">
        <is>
          <t>Has receiver</t>
        </is>
      </c>
      <c r="G193" s="5" t="inlineStr"/>
    </row>
    <row r="194">
      <c r="A194" s="5" t="inlineStr">
        <is>
          <t>LMB-190</t>
        </is>
      </c>
      <c r="B194" s="5" t="inlineStr">
        <is>
          <t>window.* function call</t>
        </is>
      </c>
      <c r="C194" s="5" t="inlineStr">
        <is>
          <t>_v4ToggleJournal</t>
        </is>
      </c>
      <c r="D194" s="5" t="inlineStr">
        <is>
          <t>js/sanctuary/SanctuaryControls.js:L246; index.html:L294; index.html:L661</t>
        </is>
      </c>
      <c r="E194" s="5" t="inlineStr">
        <is>
          <t>index.html:L693</t>
        </is>
      </c>
      <c r="F194" s="5" t="inlineStr">
        <is>
          <t>Has receiver</t>
        </is>
      </c>
      <c r="G194" s="5" t="inlineStr"/>
    </row>
    <row r="195">
      <c r="A195" s="5" t="inlineStr">
        <is>
          <t>LMB-191</t>
        </is>
      </c>
      <c r="B195" s="5" t="inlineStr">
        <is>
          <t>window.* function call</t>
        </is>
      </c>
      <c r="C195" s="5" t="inlineStr">
        <is>
          <t>_v4TogglePanel</t>
        </is>
      </c>
      <c r="D195" s="5" t="inlineStr">
        <is>
          <t>js/sanctuary/SanctuaryControls.js:L241; index.html:L313; index.html:L791</t>
        </is>
      </c>
      <c r="E195" s="5" t="inlineStr">
        <is>
          <t>index.html:L736</t>
        </is>
      </c>
      <c r="F195" s="5" t="inlineStr">
        <is>
          <t>Has receiver</t>
        </is>
      </c>
      <c r="G195" s="5" t="inlineStr"/>
    </row>
    <row r="196">
      <c r="A196" s="5" t="inlineStr">
        <is>
          <t>LMB-192</t>
        </is>
      </c>
      <c r="B196" s="5" t="inlineStr">
        <is>
          <t>window.* function call</t>
        </is>
      </c>
      <c r="C196" s="5" t="inlineStr">
        <is>
          <t>_v4ToggleTopDown</t>
        </is>
      </c>
      <c r="D196" s="5" t="inlineStr">
        <is>
          <t>index.html:L880</t>
        </is>
      </c>
      <c r="E196" s="5" t="inlineStr">
        <is>
          <t>js/sanctuary/SanctuaryControls.js:L278</t>
        </is>
      </c>
      <c r="F196" s="5" t="inlineStr">
        <is>
          <t>Has receiver</t>
        </is>
      </c>
      <c r="G196" s="5" t="inlineStr"/>
    </row>
    <row r="197">
      <c r="A197" s="5" t="inlineStr">
        <is>
          <t>LMB-193</t>
        </is>
      </c>
      <c r="B197" s="5" t="inlineStr">
        <is>
          <t>window.* function call</t>
        </is>
      </c>
      <c r="C197" s="5" t="inlineStr">
        <is>
          <t>_v4WalkTo</t>
        </is>
      </c>
      <c r="D197" s="5" t="inlineStr">
        <is>
          <t>js/sanctuary/SanctuaryClickToMove.js:L283; js/sanctuary/SanctuaryClickToMove.js:L323; index.html:L851</t>
        </is>
      </c>
      <c r="E197" s="5" t="inlineStr">
        <is>
          <t>js/sanctuary/SanctuaryClickToMove.js:L236</t>
        </is>
      </c>
      <c r="F197" s="5" t="inlineStr">
        <is>
          <t>Has receiver</t>
        </is>
      </c>
      <c r="G197" s="5" t="inlineStr"/>
    </row>
    <row r="198">
      <c r="A198" s="5" t="inlineStr">
        <is>
          <t>LMB-194</t>
        </is>
      </c>
      <c r="B198" s="5" t="inlineStr">
        <is>
          <t>window.* function call</t>
        </is>
      </c>
      <c r="C198" s="5" t="inlineStr">
        <is>
          <t>addPage</t>
        </is>
      </c>
      <c r="D198" s="5" t="inlineStr">
        <is>
          <t>js/components/Component.NewJournal.html:L862; js/components/Component.NewJournal.html:L1299</t>
        </is>
      </c>
      <c r="E198" s="5" t="inlineStr">
        <is>
          <t>js/components/Component.NewJournal.html:L785</t>
        </is>
      </c>
      <c r="F198" s="5" t="inlineStr">
        <is>
          <t>Has receiver</t>
        </is>
      </c>
      <c r="G198" s="5" t="inlineStr"/>
    </row>
    <row r="199">
      <c r="A199" s="5" t="inlineStr">
        <is>
          <t>LMB-195</t>
        </is>
      </c>
      <c r="B199" s="5" t="inlineStr">
        <is>
          <t>window.* function call</t>
        </is>
      </c>
      <c r="C199" s="5" t="inlineStr">
        <is>
          <t>getPageFontIndex</t>
        </is>
      </c>
      <c r="D199" s="5" t="inlineStr">
        <is>
          <t>js/components/Component.NewJournal.html:L670; js/components/Component.NewJournal.html:L683</t>
        </is>
      </c>
      <c r="E199" s="5" t="inlineStr">
        <is>
          <t>js/components/Component.NewJournal.html:L665</t>
        </is>
      </c>
      <c r="F199" s="5" t="inlineStr">
        <is>
          <t>Has receiver</t>
        </is>
      </c>
      <c r="G199" s="5" t="inlineStr"/>
    </row>
    <row r="200">
      <c r="A200" s="5" t="inlineStr">
        <is>
          <t>LMB-196</t>
        </is>
      </c>
      <c r="B200" s="5" t="inlineStr">
        <is>
          <t>window.* function call</t>
        </is>
      </c>
      <c r="C200" s="5" t="inlineStr">
        <is>
          <t>initPanelIcons</t>
        </is>
      </c>
      <c r="D200" s="5" t="inlineStr">
        <is>
          <t>SacredGame.Panel.html:L73; SacredGame.Panel.html:L1939</t>
        </is>
      </c>
      <c r="E200" s="5" t="inlineStr">
        <is>
          <t>SacredGame.Panel.html:L1898</t>
        </is>
      </c>
      <c r="F200" s="5" t="inlineStr">
        <is>
          <t>Has receiver</t>
        </is>
      </c>
      <c r="G200" s="5" t="inlineStr"/>
    </row>
    <row r="201">
      <c r="A201" s="5" t="inlineStr">
        <is>
          <t>LMB-197</t>
        </is>
      </c>
      <c r="B201" s="5" t="inlineStr">
        <is>
          <t>window.* function call</t>
        </is>
      </c>
      <c r="C201" s="5" t="inlineStr">
        <is>
          <t>sanctuaryGrant</t>
        </is>
      </c>
      <c r="D201" s="5" t="inlineStr">
        <is>
          <t>js/sanctuary/SanctuaryFishing.js:L2446</t>
        </is>
      </c>
      <c r="E201" s="5" t="inlineStr">
        <is>
          <t>js/sanctuary/SanctuaryInventory.js:L155</t>
        </is>
      </c>
      <c r="F201" s="5" t="inlineStr">
        <is>
          <t>Has receiver</t>
        </is>
      </c>
      <c r="G201" s="5" t="inlineStr"/>
    </row>
    <row r="202">
      <c r="A202" s="5" t="inlineStr">
        <is>
          <t>LMB-198</t>
        </is>
      </c>
      <c r="B202" s="5" t="inlineStr">
        <is>
          <t>window.* function call</t>
        </is>
      </c>
      <c r="C202" s="5" t="inlineStr">
        <is>
          <t>sanctuaryPulse</t>
        </is>
      </c>
      <c r="D202" s="5" t="inlineStr">
        <is>
          <t>js/sanctuary/MoldPlantLily.js:L107; js/sanctuary/SanctuaryFish.js:L939; js/sanctuary/SanctuaryFish.js:L1011; js/sanctuary/SanctuaryFish.js:L1076; js/sanctuary/SanctuaryFish.js:L1146; js/sanctuary/SanctuaryFish.js:L1153; js/sanctuary/SanctuaryFish.js:L1396; js/sanctuary/SanctuaryFish.js:L1581; js/sanctuary/SanctuaryFishJumps.js:L152; js/sanctuary/SanctuaryFishJumps.js:L172; js/sanctuary/SanctuaryFishing.js:L2232; js/sanctuary/SanctuaryFrogs.js:L886</t>
        </is>
      </c>
      <c r="E202" s="5" t="inlineStr">
        <is>
          <t>js/sanctuary/SanctuaryCircles.js:L191</t>
        </is>
      </c>
      <c r="F202" s="5" t="inlineStr">
        <is>
          <t>Has receiver</t>
        </is>
      </c>
      <c r="G202" s="5" t="inlineStr"/>
    </row>
    <row r="203">
      <c r="A203" s="5" t="inlineStr">
        <is>
          <t>LMB-199</t>
        </is>
      </c>
      <c r="B203" s="5" t="inlineStr">
        <is>
          <t>window.* function call</t>
        </is>
      </c>
      <c r="C203" s="5" t="inlineStr">
        <is>
          <t>startGameSequence</t>
        </is>
      </c>
      <c r="D203" s="5" t="inlineStr">
        <is>
          <t>js/components/Component.NewJournal.html:L1022; js/components/Component.NewJournal.html:L1094</t>
        </is>
      </c>
      <c r="E203" s="5" t="inlineStr">
        <is>
          <t>js/components/Component.NewJournal.html:L907</t>
        </is>
      </c>
      <c r="F203" s="5" t="inlineStr">
        <is>
          <t>Has receiver</t>
        </is>
      </c>
      <c r="G203" s="5" t="inlineStr"/>
    </row>
    <row r="204">
      <c r="A204" s="5" t="inlineStr">
        <is>
          <t>LMB-200</t>
        </is>
      </c>
      <c r="B204" s="5" t="inlineStr">
        <is>
          <t>window.* function call</t>
        </is>
      </c>
      <c r="C204" s="5" t="inlineStr">
        <is>
          <t>switchBookTab</t>
        </is>
      </c>
      <c r="D204" s="5" t="inlineStr">
        <is>
          <t>js/components/Component.NewJournal.html:L799; js/components/Component.NewJournal.html:L869</t>
        </is>
      </c>
      <c r="E204" s="5" t="inlineStr">
        <is>
          <t>js/components/Component.NewJournal.html:L763</t>
        </is>
      </c>
      <c r="F204" s="5" t="inlineStr">
        <is>
          <t>Has receiver</t>
        </is>
      </c>
      <c r="G204" s="5" t="inlineStr"/>
    </row>
    <row r="205">
      <c r="A205" s="5" t="inlineStr">
        <is>
          <t>LMB-201</t>
        </is>
      </c>
      <c r="B205" s="5" t="inlineStr">
        <is>
          <t>window.* function call</t>
        </is>
      </c>
      <c r="C205" s="5" t="inlineStr">
        <is>
          <t>toggleLogbook</t>
        </is>
      </c>
      <c r="D205" s="5" t="inlineStr">
        <is>
          <t>SacredGame.Panel.html:L2085; SacredGame.Panel.html:L2191; SacredGame.Panel.html:L2475; SacredGame.Panel.html:L2479; SacredGame.Panel.html:L2537; SacredGame.Journal.html:L425; SacredGame.Journal.html:L432; SacredGame.Journal.html:L449; SacredGame.Journal.html:L458; SacredGame.Journal.html:L466; SacredGame.Journal.html:L476; SacredGame.Journal.html:L486</t>
        </is>
      </c>
      <c r="E205" s="5" t="inlineStr">
        <is>
          <t>SacredGame.Panel.html:L2565; SacredGame.Journal.html:L339</t>
        </is>
      </c>
      <c r="F205" s="5" t="inlineStr">
        <is>
          <t>Has receiver</t>
        </is>
      </c>
      <c r="G205" s="5" t="inlineStr"/>
    </row>
  </sheetData>
  <autoFilter ref="A4:G20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34" customWidth="1" min="4" max="4"/>
    <col width="40" customWidth="1" min="5" max="5"/>
    <col width="52" customWidth="1" min="6" max="6"/>
    <col width="48" customWidth="1" min="7" max="7"/>
    <col width="34" customWidth="1" min="8" max="8"/>
    <col width="44" customWidth="1" min="9" max="9"/>
    <col width="7" customWidth="1" min="10" max="10"/>
    <col width="9" customWidth="1" min="11" max="11"/>
    <col width="26" customWidth="1" min="12" max="12"/>
  </cols>
  <sheetData>
    <row r="1">
      <c r="A1" s="9" t="inlineStr">
        <is>
          <t>Findings</t>
        </is>
      </c>
    </row>
    <row r="2">
      <c r="A2" s="10" t="inlineStr">
        <is>
          <t>Evidence line numbers are re-located by regex at every build; 'NOT FOUND' means the code moved</t>
        </is>
      </c>
    </row>
    <row r="4" ht="30" customHeight="1">
      <c r="A4" s="12" t="inlineStr">
        <is>
          <t>Finding ID</t>
        </is>
      </c>
      <c r="B4" s="12" t="inlineStr">
        <is>
          <t>Severity</t>
        </is>
      </c>
      <c r="C4" s="12" t="inlineStr">
        <is>
          <t>Subsystem</t>
        </is>
      </c>
      <c r="D4" s="12" t="inlineStr">
        <is>
          <t>Finding</t>
        </is>
      </c>
      <c r="E4" s="12" t="inlineStr">
        <is>
          <t>Assumed</t>
        </is>
      </c>
      <c r="F4" s="12" t="inlineStr">
        <is>
          <t>Verified (mechanical)</t>
        </is>
      </c>
      <c r="G4" s="12" t="inlineStr">
        <is>
          <t>Evidence (file:line)</t>
        </is>
      </c>
      <c r="H4" s="12" t="inlineStr">
        <is>
          <t>Impact</t>
        </is>
      </c>
      <c r="I4" s="12" t="inlineStr">
        <is>
          <t>Fix</t>
        </is>
      </c>
      <c r="J4" s="12" t="inlineStr">
        <is>
          <t>Effort</t>
        </is>
      </c>
      <c r="K4" s="12" t="inlineStr">
        <is>
          <t>Plan step</t>
        </is>
      </c>
      <c r="L4" s="12" t="inlineStr">
        <is>
          <t>Status</t>
        </is>
      </c>
    </row>
    <row r="5">
      <c r="A5" s="5" t="inlineStr">
        <is>
          <t>FND-01</t>
        </is>
      </c>
      <c r="B5" s="13" t="inlineStr">
        <is>
          <t>Critical</t>
        </is>
      </c>
      <c r="C5" s="5" t="inlineStr">
        <is>
          <t>SUB-09</t>
        </is>
      </c>
      <c r="D5" s="5" t="inlineStr">
        <is>
          <t>REG NPC is 1.94M triangles</t>
        </is>
      </c>
      <c r="E5" s="5" t="inlineStr">
        <is>
          <t>Seated NPC, one of three tipi owners; header says desktop loads REG at full detail.</t>
        </is>
      </c>
      <c r="F5" s="5" t="inlineStr">
        <is>
          <t>NPC.REG.glb = 1,942,136 tris, 18 primitives, 54 textures (~294 MB VRAM). ~48% of estimated boot triangles.</t>
        </is>
      </c>
      <c r="G5" s="5" t="inlineStr">
        <is>
          <t>js/sanctuary/SanctuaryTipiNpcs.js:L47 · js/sanctuary/SanctuaryTipiNpcs.js:L255</t>
        </is>
      </c>
      <c r="H5" s="5" t="inlineStr">
        <is>
          <t>Vertex + skinning cost in main and PiP passes; largest single VRAM consumer.</t>
        </is>
      </c>
      <c r="I5" s="5" t="inlineStr">
        <is>
          <t>Swap to NPC.REG.lite.glb (60,410 tris, 66 MB) on desktop and NPC.REG.mobile.glb (31,096 tris, 18 MB) on mobile.</t>
        </is>
      </c>
      <c r="J5" s="5" t="inlineStr">
        <is>
          <t>S</t>
        </is>
      </c>
      <c r="K5" s="5" t="inlineStr">
        <is>
          <t>PLN-01</t>
        </is>
      </c>
      <c r="L5" s="5" t="inlineStr">
        <is>
          <t>Fixed in code (PLN-01) — verify in browser</t>
        </is>
      </c>
    </row>
    <row r="6">
      <c r="A6" s="5" t="inlineStr">
        <is>
          <t>FND-02</t>
        </is>
      </c>
      <c r="B6" s="13" t="inlineStr">
        <is>
          <t>Critical</t>
        </is>
      </c>
      <c r="C6" s="5" t="inlineStr">
        <is>
          <t>SUB-10</t>
        </is>
      </c>
      <c r="D6" s="5" t="inlineStr">
        <is>
          <t>Tipis use the 246k-triangle model ×3</t>
        </is>
      </c>
      <c r="E6" s="5" t="inlineStr">
        <is>
          <t>Header: loads the same yellow-butterfly tipi as v2; mobile decimation script covers tipis.</t>
        </is>
      </c>
      <c r="F6" s="5" t="inlineStr">
        <is>
          <t>tipi.yellowbutterfly.glb = 245,880 tris, 4096² map; 3 clones at boot = 737,640 tris. Mobile swap set lists 'tipi.yellowbutterfly-compressed.glb', not the URL loaded, so mobile also gets full detail.</t>
        </is>
      </c>
      <c r="G6" s="5" t="inlineStr">
        <is>
          <t>js/sanctuary/SanctuaryTipis.js:L28 · js/v2/gltfLoaderSetup.js:L50</t>
        </is>
      </c>
      <c r="H6" s="5" t="inlineStr">
        <is>
          <t>~18% of boot triangles; mobile memory risk.</t>
        </is>
      </c>
      <c r="I6" s="5" t="inlineStr">
        <is>
          <t>Swap to tipi.yellowbutterfly.lite.glb (40,000 tris, 2048²) and .mobile.glb (14,998 tris, 1024²); add the loaded basename to MOBILE_GLB_VARIANTS.</t>
        </is>
      </c>
      <c r="J6" s="5" t="inlineStr">
        <is>
          <t>S</t>
        </is>
      </c>
      <c r="K6" s="5" t="inlineStr">
        <is>
          <t>PLN-02</t>
        </is>
      </c>
      <c r="L6" s="5" t="inlineStr">
        <is>
          <t>Fixed in code (PLN-02) — verify in browser</t>
        </is>
      </c>
    </row>
    <row r="7">
      <c r="A7" s="5" t="inlineStr">
        <is>
          <t>FND-03</t>
        </is>
      </c>
      <c r="B7" s="14" t="inlineStr">
        <is>
          <t>High</t>
        </is>
      </c>
      <c r="C7" s="5" t="inlineStr">
        <is>
          <t>SUB-14</t>
        </is>
      </c>
      <c r="D7" s="5" t="inlineStr">
        <is>
          <t>~939 MB of texture VRAM at boot (desktop)</t>
        </is>
      </c>
      <c r="E7" s="5" t="inlineStr">
        <is>
          <t>Mobile cap at 256 px handles memory; desktop has headroom.</t>
        </is>
      </c>
      <c r="F7" s="5" t="inlineStr">
        <is>
          <t>Boot GLB textures sum to ~939 MB uncompressed with mips: REG 294, YB 256 (3×4096² on a 37k-tri NPC), Avatar-New 171, tipi 85, reeds 85 (4096² on a 10k-tri reed).</t>
        </is>
      </c>
      <c r="G7" s="5" t="inlineStr">
        <is>
          <t>js/v2/Orchestrator.js:L150 · js/sanctuary/SanctuaryTipiNpcs.js:L42</t>
        </is>
      </c>
      <c r="H7" s="5" t="inlineStr">
        <is>
          <t>GPU memory pressure; doubled by the PiP second context (FND-04).</t>
        </is>
      </c>
      <c r="I7" s="5" t="inlineStr">
        <is>
          <t>Cap hero textures at 2048, props at 1024, small NPC parts at 512; consider KTX2/Basis.</t>
        </is>
      </c>
      <c r="J7" s="5" t="inlineStr">
        <is>
          <t>M</t>
        </is>
      </c>
      <c r="K7" s="5" t="inlineStr">
        <is>
          <t>PLN-03</t>
        </is>
      </c>
      <c r="L7" s="5" t="inlineStr">
        <is>
          <t>Open</t>
        </is>
      </c>
    </row>
    <row r="8">
      <c r="A8" s="5" t="inlineStr">
        <is>
          <t>FND-04</t>
        </is>
      </c>
      <c r="B8" s="14" t="inlineStr">
        <is>
          <t>High</t>
        </is>
      </c>
      <c r="C8" s="5" t="inlineStr">
        <is>
          <t>SUB-05</t>
        </is>
      </c>
      <c r="D8" s="5" t="inlineStr">
        <is>
          <t>PiP minimap is a second WebGL context</t>
        </is>
      </c>
      <c r="E8" s="5" t="inlineStr">
        <is>
          <t>PiP is a cheap minimap; throttled by RenderingGovernor stride.</t>
        </is>
      </c>
      <c r="F8" s="5" t="inlineStr">
        <is>
          <t>Desktop creates a 2nd WebGLRenderer with antialias + preserveDrawingBuffer; warm-up uploads every mesh and texture into it with culling off.</t>
        </is>
      </c>
      <c r="G8" s="5" t="inlineStr">
        <is>
          <t>js/v2/Orchestrator.js:L1114 · js/v2/Orchestrator.js:L1123 · js/v2/Orchestrator.js:L1179</t>
        </is>
      </c>
      <c r="H8" s="5" t="inlineStr">
        <is>
          <t>Duplicate GPU memory for all assets; extra full-scene pass; MSAA buffer.</t>
        </is>
      </c>
      <c r="I8" s="5" t="inlineStr">
        <is>
          <t>Render PiP into the main canvas with setViewport + setScissor (one context). Interim: drop antialias and preserveDrawingBuffer.</t>
        </is>
      </c>
      <c r="J8" s="5" t="inlineStr">
        <is>
          <t>L</t>
        </is>
      </c>
      <c r="K8" s="5" t="inlineStr">
        <is>
          <t>PLN-05</t>
        </is>
      </c>
      <c r="L8" s="5" t="inlineStr">
        <is>
          <t>Open</t>
        </is>
      </c>
    </row>
    <row r="9">
      <c r="A9" s="5" t="inlineStr">
        <is>
          <t>FND-05</t>
        </is>
      </c>
      <c r="B9" s="14" t="inlineStr">
        <is>
          <t>High</t>
        </is>
      </c>
      <c r="C9" s="5" t="inlineStr">
        <is>
          <t>SUB-05</t>
        </is>
      </c>
      <c r="D9" s="5" t="inlineStr">
        <is>
          <t>PiP renders every frame in Village View</t>
        </is>
      </c>
      <c r="E9" s="5" t="inlineStr">
        <is>
          <t>RenderingGovernor is the single source of truth for PiP cadence (stride 16).</t>
        </is>
      </c>
      <c r="F9" s="5" t="inlineStr">
        <is>
          <t>The stride gate is skipped when body has v4-top-down-view, so Village View renders the scene twice per frame.</t>
        </is>
      </c>
      <c r="G9" s="5" t="inlineStr">
        <is>
          <t>js/v2/Orchestrator.js:L1406</t>
        </is>
      </c>
      <c r="H9" s="5" t="inlineStr">
        <is>
          <t>Up to ~2× GPU work in the village-building screen.</t>
        </is>
      </c>
      <c r="I9" s="5" t="inlineStr">
        <is>
          <t>Apply the stride (or a dedicated village-view stride) in top-down mode.</t>
        </is>
      </c>
      <c r="J9" s="5" t="inlineStr">
        <is>
          <t>S</t>
        </is>
      </c>
      <c r="K9" s="5" t="inlineStr">
        <is>
          <t>PLN-06</t>
        </is>
      </c>
      <c r="L9" s="5" t="inlineStr">
        <is>
          <t>Open</t>
        </is>
      </c>
    </row>
    <row r="10">
      <c r="A10" s="5" t="inlineStr">
        <is>
          <t>FND-06</t>
        </is>
      </c>
      <c r="B10" s="15" t="inlineStr">
        <is>
          <t>Medium</t>
        </is>
      </c>
      <c r="C10" s="5" t="inlineStr">
        <is>
          <t>SUB-05</t>
        </is>
      </c>
      <c r="D10" s="5" t="inlineStr">
        <is>
          <t>Per-PiP-pass scene traversals and allocations</t>
        </is>
      </c>
      <c r="E10" s="5" t="inlineStr">
        <is>
          <t>PiP prep only toggles fog/background.</t>
        </is>
      </c>
      <c r="F10" s="5" t="inlineStr">
        <is>
          <t>Each PiP pass traverses the whole scene to zero uTime uniforms, allocates and adds an AmbientLight, and (fishing) runs ~40 string tests per object.</t>
        </is>
      </c>
      <c r="G10" s="5" t="inlineStr">
        <is>
          <t>js/v2/Orchestrator.js:L1465 · js/v2/Orchestrator.js:L1540 · js/v2/Orchestrator.js:L1319</t>
        </is>
      </c>
      <c r="H10" s="5" t="inlineStr">
        <is>
          <t>CPU per PiP frame grows with scene size; GC churn.</t>
        </is>
      </c>
      <c r="I10" s="5" t="inlineStr">
        <is>
          <t>One shared time uniform; one cached ambient light toggled via layers; precomputed cull list.</t>
        </is>
      </c>
      <c r="J10" s="5" t="inlineStr">
        <is>
          <t>S</t>
        </is>
      </c>
      <c r="K10" s="5" t="inlineStr">
        <is>
          <t>PLN-06</t>
        </is>
      </c>
      <c r="L10" s="5" t="inlineStr">
        <is>
          <t>Partly fixed (cached light + uniform cache); scan kept for non-close-up PiP</t>
        </is>
      </c>
    </row>
    <row r="11">
      <c r="A11" s="5" t="inlineStr">
        <is>
          <t>FND-07</t>
        </is>
      </c>
      <c r="B11" s="14" t="inlineStr">
        <is>
          <t>High</t>
        </is>
      </c>
      <c r="C11" s="5" t="inlineStr">
        <is>
          <t>SUB-04</t>
        </is>
      </c>
      <c r="D11" s="5" t="inlineStr">
        <is>
          <t>ANU governors time JavaScript, not frames</t>
        </is>
      </c>
      <c r="E11" s="5" t="inlineStr">
        <is>
          <t>FrameBudget samples wall-clock frame duration.</t>
        </is>
      </c>
      <c r="F11" s="5" t="inlineStr">
        <is>
          <t>frameMs = performance.now() at loop start to after render calls: CPU submission only. GPU-bound frames read as OPTIMAL, so DPR and PiP never shed.</t>
        </is>
      </c>
      <c r="G11" s="5" t="inlineStr">
        <is>
          <t>js/v2/Orchestrator.js:L661 · js/v2/Orchestrator.js:L797 · js/v2/anu/FrameBudget.js:L18</t>
        </is>
      </c>
      <c r="H11" s="5" t="inlineStr">
        <is>
          <t>Adaptive quality does not react to the real bottleneck (GPU).</t>
        </is>
      </c>
      <c r="I11" s="5" t="inlineStr">
        <is>
          <t>Feed the controllers the RAF-to-RAF interval (clock delta), optionally EXT_disjoint_timer_query for GPU time.</t>
        </is>
      </c>
      <c r="J11" s="5" t="inlineStr">
        <is>
          <t>S</t>
        </is>
      </c>
      <c r="K11" s="5" t="inlineStr">
        <is>
          <t>PLN-07</t>
        </is>
      </c>
      <c r="L11" s="5" t="inlineStr">
        <is>
          <t>Open</t>
        </is>
      </c>
    </row>
    <row r="12">
      <c r="A12" s="5" t="inlineStr">
        <is>
          <t>FND-08</t>
        </is>
      </c>
      <c r="B12" s="15" t="inlineStr">
        <is>
          <t>Medium</t>
        </is>
      </c>
      <c r="C12" s="5" t="inlineStr">
        <is>
          <t>SUB-04</t>
        </is>
      </c>
      <c r="D12" s="5" t="inlineStr">
        <is>
          <t>Three controllers fight over PiP stride</t>
        </is>
      </c>
      <c r="E12" s="5" t="inlineStr">
        <is>
          <t>RenderingGovernor is the single source of truth.</t>
        </is>
      </c>
      <c r="F12" s="5" t="inlineStr">
        <is>
          <t>AdaptiveRenderPolicy (1.4×/1.1× target), AnuAdaptiveDpr (1.0×, 1.3×) and the Orchestrator CRITICAL bypass (1.6×) all change PiP cadence; shadows use a 4th threshold set (1.25×/1.6×).</t>
        </is>
      </c>
      <c r="G12" s="5" t="inlineStr">
        <is>
          <t>js/v2/anu/AdaptiveRenderPolicy.js:L59 · js/sanctuary/AnuAdaptiveDpr.js:L243 · js/v2/Orchestrator.js:L770</t>
        </is>
      </c>
      <c r="H12" s="5" t="inlineStr">
        <is>
          <t>Oscillation and unpredictable quality; hard to tune.</t>
        </is>
      </c>
      <c r="I12" s="5" t="inlineStr">
        <is>
          <t>One controller owning DPR, PiP stride and shadow cadence with one hysteresis band.</t>
        </is>
      </c>
      <c r="J12" s="5" t="inlineStr">
        <is>
          <t>M</t>
        </is>
      </c>
      <c r="K12" s="5" t="inlineStr">
        <is>
          <t>PLN-07</t>
        </is>
      </c>
      <c r="L12" s="5" t="inlineStr">
        <is>
          <t>Open</t>
        </is>
      </c>
    </row>
    <row r="13">
      <c r="A13" s="5" t="inlineStr">
        <is>
          <t>FND-09</t>
        </is>
      </c>
      <c r="B13" s="15" t="inlineStr">
        <is>
          <t>Medium</t>
        </is>
      </c>
      <c r="C13" s="5" t="inlineStr">
        <is>
          <t>SUB-03</t>
        </is>
      </c>
      <c r="D13" s="5" t="inlineStr">
        <is>
          <t>Scene inventory walk every 120 frames, no live reader</t>
        </is>
      </c>
      <c r="E13" s="5" t="inlineStr">
        <is>
          <t>Inventory feeds ANU's live audit.</t>
        </is>
      </c>
      <c r="F13" s="5" t="inlineStr">
        <is>
          <t>captureSceneRenderInventory traverses the scene, calls getWorldPosition per object, builds and sorts rows every 120 frames. SCENE_INVENTORY_TICK has 0 live subscribers; snapshot is read only by on-demand debug APIs.</t>
        </is>
      </c>
      <c r="G13" s="5" t="inlineStr">
        <is>
          <t>js/v2/anu/SceneModelInventory.js:L11 · js/v2/Orchestrator.js:L821</t>
        </is>
      </c>
      <c r="H13" s="5" t="inlineStr">
        <is>
          <t>Periodic CPU spike (~every 2 s at 60 FPS).</t>
        </is>
      </c>
      <c r="I13" s="5" t="inlineStr">
        <is>
          <t>Compute on demand (when AnuUniverse.report()/journal asks).</t>
        </is>
      </c>
      <c r="J13" s="5" t="inlineStr">
        <is>
          <t>S</t>
        </is>
      </c>
      <c r="K13" s="5" t="inlineStr">
        <is>
          <t>PLN-08</t>
        </is>
      </c>
      <c r="L13" s="5" t="inlineStr">
        <is>
          <t>Open</t>
        </is>
      </c>
    </row>
    <row r="14">
      <c r="A14" s="5" t="inlineStr">
        <is>
          <t>FND-10</t>
        </is>
      </c>
      <c r="B14" s="15" t="inlineStr">
        <is>
          <t>Medium</t>
        </is>
      </c>
      <c r="C14" s="5" t="inlineStr">
        <is>
          <t>SUB-03</t>
        </is>
      </c>
      <c r="D14" s="5" t="inlineStr">
        <is>
          <t>ANU InteractionBus is write-only in the live game</t>
        </is>
      </c>
      <c r="E14" s="5" t="inlineStr">
        <is>
          <t>ANU sees and coordinates every event via the bus.</t>
        </is>
      </c>
      <c r="F14" s="5" t="inlineStr">
        <is>
          <t>11 live files dispatch; 0 live files subscribe (subscribers exist only in legacy v2 files).</t>
        </is>
      </c>
      <c r="G14" s="5" t="inlineStr">
        <is>
          <t>js/v2/anu/InteractionBus.js:L32 · js/v2/Flora.js:L718</t>
        </is>
      </c>
      <c r="H14" s="5" t="inlineStr">
        <is>
          <t>Coordination happens through window globals instead (FND-11); bus adds cost without effect.</t>
        </is>
      </c>
      <c r="I14" s="5" t="inlineStr">
        <is>
          <t>Either route real coordination through the bus or treat it as debug-only.</t>
        </is>
      </c>
      <c r="J14" s="5" t="inlineStr">
        <is>
          <t>M</t>
        </is>
      </c>
      <c r="K14" s="5" t="inlineStr">
        <is>
          <t>PLN-12</t>
        </is>
      </c>
      <c r="L14" s="5" t="inlineStr">
        <is>
          <t>Open</t>
        </is>
      </c>
    </row>
    <row r="15">
      <c r="A15" s="5" t="inlineStr">
        <is>
          <t>FND-11</t>
        </is>
      </c>
      <c r="B15" s="15" t="inlineStr">
        <is>
          <t>Medium</t>
        </is>
      </c>
      <c r="C15" s="5" t="inlineStr">
        <is>
          <t>SUB-02</t>
        </is>
      </c>
      <c r="D15" s="5" t="inlineStr">
        <is>
          <t>74 window globals are the real integration layer</t>
        </is>
      </c>
      <c r="E15" s="5" t="inlineStr">
        <is>
          <t>Scorecard dimension 3 rewards 'no silent globals'; RuntimeServices is the service registry.</t>
        </is>
      </c>
      <c r="F15" s="5" t="inlineStr">
        <is>
          <t>Live modules write the window.* names listed in 41_Globals; only 4 runtime services are registered.</t>
        </is>
      </c>
      <c r="G15" s="5" t="inlineStr">
        <is>
          <t>js/v2/Orchestrator.js:L701 · js/v2/RuntimeServices.js:L57</t>
        </is>
      </c>
      <c r="H15" s="5" t="inlineStr">
        <is>
          <t>Hidden coupling; hard to reason about; easy to break silently.</t>
        </is>
      </c>
      <c r="I15" s="5" t="inlineStr">
        <is>
          <t>Promote the top cross-module globals to RuntimeServices with contracts.</t>
        </is>
      </c>
      <c r="J15" s="5" t="inlineStr">
        <is>
          <t>L</t>
        </is>
      </c>
      <c r="K15" s="5" t="inlineStr">
        <is>
          <t>PLN-12</t>
        </is>
      </c>
      <c r="L15" s="5" t="inlineStr">
        <is>
          <t>Open</t>
        </is>
      </c>
    </row>
    <row r="16">
      <c r="A16" s="5" t="inlineStr">
        <is>
          <t>FND-12</t>
        </is>
      </c>
      <c r="B16" s="16" t="inlineStr">
        <is>
          <t>Low</t>
        </is>
      </c>
      <c r="C16" s="5" t="inlineStr">
        <is>
          <t>SUB-03</t>
        </is>
      </c>
      <c r="D16" s="5" t="inlineStr">
        <is>
          <t>163 KB of AI memory prose ships to every player</t>
        </is>
      </c>
      <c r="E16" s="5" t="inlineStr">
        <is>
          <t>pipelineMemory is the engine's incident ledger for agents.</t>
        </is>
      </c>
      <c r="F16" s="5" t="inlineStr">
        <is>
          <t>pipelineMemory.js is the largest file in the live import graph (163 KB unminified); 78 modules / ~1.3 MB unminified load without bundling.</t>
        </is>
      </c>
      <c r="G16" s="5" t="inlineStr">
        <is>
          <t>js/v2/anu/pipelineMemory.js:L2</t>
        </is>
      </c>
      <c r="H16" s="5" t="inlineStr">
        <is>
          <t>Download + parse on every boot; no runtime value to the player.</t>
        </is>
      </c>
      <c r="I16" s="5" t="inlineStr">
        <is>
          <t>Move to docs/ or lazy-load from DevTools helpers only.</t>
        </is>
      </c>
      <c r="J16" s="5" t="inlineStr">
        <is>
          <t>S</t>
        </is>
      </c>
      <c r="K16" s="5" t="inlineStr">
        <is>
          <t>PLN-09</t>
        </is>
      </c>
      <c r="L16" s="5" t="inlineStr">
        <is>
          <t>Open</t>
        </is>
      </c>
    </row>
    <row r="17">
      <c r="A17" s="5" t="inlineStr">
        <is>
          <t>FND-13</t>
        </is>
      </c>
      <c r="B17" s="15" t="inlineStr">
        <is>
          <t>Medium</t>
        </is>
      </c>
      <c r="C17" s="5" t="inlineStr">
        <is>
          <t>SUB-01</t>
        </is>
      </c>
      <c r="D17" s="5" t="inlineStr">
        <is>
          <t>Service worker is a kill switch (no offline play)</t>
        </is>
      </c>
      <c r="E17" s="5" t="inlineStr">
        <is>
          <t>PROGRESS.md: Service Worker v9 caches all shell files; manifesto: offline-first.</t>
        </is>
      </c>
      <c r="F17" s="5" t="inlineStr">
        <is>
          <t>sw.js deletes all caches and unregisters itself.</t>
        </is>
      </c>
      <c r="G17" s="5" t="inlineStr">
        <is>
          <t>sw.js:L2</t>
        </is>
      </c>
      <c r="H17" s="5" t="inlineStr">
        <is>
          <t>~55 MB of GLBs re-downloaded when HTTP cache misses; offline goal unmet.</t>
        </is>
      </c>
      <c r="I17" s="5" t="inlineStr">
        <is>
          <t>Versioned cache-first SW for Assets/ only (hashed filenames), network-first for code.</t>
        </is>
      </c>
      <c r="J17" s="5" t="inlineStr">
        <is>
          <t>M</t>
        </is>
      </c>
      <c r="K17" s="5" t="inlineStr">
        <is>
          <t>PLN-10</t>
        </is>
      </c>
      <c r="L17" s="5" t="inlineStr">
        <is>
          <t>Open</t>
        </is>
      </c>
    </row>
    <row r="18">
      <c r="A18" s="5" t="inlineStr">
        <is>
          <t>FND-14</t>
        </is>
      </c>
      <c r="B18" s="16" t="inlineStr">
        <is>
          <t>Low</t>
        </is>
      </c>
      <c r="C18" s="5" t="inlineStr">
        <is>
          <t>SUB-02</t>
        </is>
      </c>
      <c r="D18" s="5" t="inlineStr">
        <is>
          <t>Per-module FPS benchmarks are noise</t>
        </is>
      </c>
      <c r="E18" s="5" t="inlineStr">
        <is>
          <t>Orchestrator benchmarks the FPS cost of every module in isolation.</t>
        </is>
      </c>
      <c r="F18" s="5" t="inlineStr">
        <is>
          <t>All 43 modules activate before start(); benches queue until FPS warm-up, so every bench runs with every module already active.</t>
        </is>
      </c>
      <c r="G18" s="5" t="inlineStr">
        <is>
          <t>index.html:L629 · js/v2/Orchestrator.js:L461</t>
        </is>
      </c>
      <c r="H18" s="5" t="inlineStr">
        <is>
          <t>fpsCost values mislead tuning decisions.</t>
        </is>
      </c>
      <c r="I18" s="5" t="inlineStr">
        <is>
          <t>Remove, or bench by toggling one module off at a time after boot.</t>
        </is>
      </c>
      <c r="J18" s="5" t="inlineStr">
        <is>
          <t>S</t>
        </is>
      </c>
      <c r="K18" s="5" t="inlineStr">
        <is>
          <t>PLN-11</t>
        </is>
      </c>
      <c r="L18" s="5" t="inlineStr">
        <is>
          <t>Open</t>
        </is>
      </c>
    </row>
    <row r="19">
      <c r="A19" s="5" t="inlineStr">
        <is>
          <t>FND-15</t>
        </is>
      </c>
      <c r="B19" s="15" t="inlineStr">
        <is>
          <t>Medium</t>
        </is>
      </c>
      <c r="C19" s="5" t="inlineStr">
        <is>
          <t>SUB-07</t>
        </is>
      </c>
      <c r="D19" s="5" t="inlineStr">
        <is>
          <t>22 fish (18 trout + 4 baby koi) at 15,644 triangles each, not instanced</t>
        </is>
      </c>
      <c r="E19" s="5" t="inlineStr">
        <is>
          <t>Header: same trout mesh as v2 Pool2.</t>
        </is>
      </c>
      <c r="F19" s="5" t="inlineStr">
        <is>
          <t>fish.obj = 7,822 quads = 15,644 tris (OBJLoader count; an awk count gave 23,466 because of CRLF — ATT-25). 22 separate Meshes = 344,168 tris + 22 draws; census total for SanctuaryFishModule 344,426 tris / 24 draws.</t>
        </is>
      </c>
      <c r="G19" s="5" t="inlineStr">
        <is>
          <t>js/sanctuary/SanctuaryFish.js:L24 · js/sanctuary/SanctuaryFish.js:L19</t>
        </is>
      </c>
      <c r="H19" s="5" t="inlineStr">
        <is>
          <t>~10% of boot triangles for small, mostly submerged fish.</t>
        </is>
      </c>
      <c r="I19" s="5" t="inlineStr">
        <is>
          <t>Decimate fish to ~1.5k tris and draw as one InstancedMesh.</t>
        </is>
      </c>
      <c r="J19" s="5" t="inlineStr">
        <is>
          <t>M</t>
        </is>
      </c>
      <c r="K19" s="5" t="inlineStr">
        <is>
          <t>PLN-04</t>
        </is>
      </c>
      <c r="L19" s="5" t="inlineStr">
        <is>
          <t>Open</t>
        </is>
      </c>
    </row>
    <row r="20">
      <c r="A20" s="5" t="inlineStr">
        <is>
          <t>FND-16</t>
        </is>
      </c>
      <c r="B20" s="16" t="inlineStr">
        <is>
          <t>Low</t>
        </is>
      </c>
      <c r="C20" s="5" t="inlineStr">
        <is>
          <t>SUB-02</t>
        </is>
      </c>
      <c r="D20" s="5" t="inlineStr">
        <is>
          <t>Shadow map re-renders every frame when OPTIMAL</t>
        </is>
      </c>
      <c r="E20" s="5" t="inlineStr">
        <is>
          <t>Shadows sampled under stress.</t>
        </is>
      </c>
      <c r="F20" s="5" t="inlineStr">
        <is>
          <t>shadowMap.autoUpdate = true whenever stress is OPTIMAL; scene casters are mostly static.</t>
        </is>
      </c>
      <c r="G20" s="5" t="inlineStr">
        <is>
          <t>js/v2/Orchestrator.js:L746</t>
        </is>
      </c>
      <c r="H20" s="5" t="inlineStr">
        <is>
          <t>A shadow depth pass every frame (512² key light, 18 instanced trees cast).</t>
        </is>
      </c>
      <c r="I20" s="5" t="inlineStr">
        <is>
          <t>autoUpdate false; needsUpdate when a caster moves or the sun changes; avatar via a blob or contact shadow.</t>
        </is>
      </c>
      <c r="J20" s="5" t="inlineStr">
        <is>
          <t>S</t>
        </is>
      </c>
      <c r="K20" s="5" t="inlineStr">
        <is>
          <t>PLN-13</t>
        </is>
      </c>
      <c r="L20" s="5" t="inlineStr">
        <is>
          <t>Open</t>
        </is>
      </c>
    </row>
    <row r="21">
      <c r="A21" s="5" t="inlineStr">
        <is>
          <t>FND-17</t>
        </is>
      </c>
      <c r="B21" s="16" t="inlineStr">
        <is>
          <t>Low</t>
        </is>
      </c>
      <c r="C21" s="5" t="inlineStr">
        <is>
          <t>SUB-08</t>
        </is>
      </c>
      <c r="D21" s="5" t="inlineStr">
        <is>
          <t>Avatar foot-flatten allocates and forces matrix updates every frame</t>
        </is>
      </c>
      <c r="E21" s="5" t="inlineStr">
        <is>
          <t>Cheap per-frame foot fix.</t>
        </is>
      </c>
      <c r="F21" s="5" t="inlineStr">
        <is>
          <t>3 Quaternions + 1 Euler allocated per frame; updateMatrixWorld(true) on foot and its parent.</t>
        </is>
      </c>
      <c r="G21" s="5" t="inlineStr">
        <is>
          <t>js/sanctuary/SanctuaryAvatar.js:L687</t>
        </is>
      </c>
      <c r="H21" s="5" t="inlineStr">
        <is>
          <t>Small GC churn.</t>
        </is>
      </c>
      <c r="I21" s="5" t="inlineStr">
        <is>
          <t>Hoist scratch objects to module scope.</t>
        </is>
      </c>
      <c r="J21" s="5" t="inlineStr">
        <is>
          <t>S</t>
        </is>
      </c>
      <c r="K21" s="5" t="inlineStr">
        <is>
          <t>PLN-14</t>
        </is>
      </c>
      <c r="L21" s="5" t="inlineStr">
        <is>
          <t>Open</t>
        </is>
      </c>
    </row>
    <row r="22">
      <c r="A22" s="5" t="inlineStr">
        <is>
          <t>FND-18</t>
        </is>
      </c>
      <c r="B22" s="16" t="inlineStr">
        <is>
          <t>Low</t>
        </is>
      </c>
      <c r="C22" s="5" t="inlineStr">
        <is>
          <t>SUB-11</t>
        </is>
      </c>
      <c r="D22" s="5" t="inlineStr">
        <is>
          <t>Transmission material on the fishing gauge</t>
        </is>
      </c>
      <c r="E22" s="5" t="inlineStr">
        <is>
          <t>Clear plastic look.</t>
        </is>
      </c>
      <c r="F22" s="5" t="inlineStr">
        <is>
          <t>MeshPhysicalMaterial with transmission 0.98 makes three.js render a transmission pass of opaque objects while the gauge is visible.</t>
        </is>
      </c>
      <c r="G22" s="5" t="inlineStr">
        <is>
          <t>js/sanctuary/SanctuaryFishing.js:L365</t>
        </is>
      </c>
      <c r="H22" s="5" t="inlineStr">
        <is>
          <t>Extra pass during fishing.</t>
        </is>
      </c>
      <c r="I22" s="5" t="inlineStr">
        <is>
          <t>Plain transparent MeshStandardMaterial at opacity 0.04 gives the same read.</t>
        </is>
      </c>
      <c r="J22" s="5" t="inlineStr">
        <is>
          <t>S</t>
        </is>
      </c>
      <c r="K22" s="5" t="inlineStr">
        <is>
          <t>PLN-14</t>
        </is>
      </c>
      <c r="L22" s="5" t="inlineStr">
        <is>
          <t>Fixed in code — check gauge look in browser</t>
        </is>
      </c>
    </row>
    <row r="23">
      <c r="A23" s="5" t="inlineStr">
        <is>
          <t>FND-19</t>
        </is>
      </c>
      <c r="B23" s="16" t="inlineStr">
        <is>
          <t>Low</t>
        </is>
      </c>
      <c r="C23" s="5" t="inlineStr">
        <is>
          <t>SUB-01</t>
        </is>
      </c>
      <c r="D23" s="5" t="inlineStr">
        <is>
          <t>Docs point at the wrong entry and wrong test commands</t>
        </is>
      </c>
      <c r="E23" s="5" t="inlineStr">
        <is>
          <t>README/CONTRIBUTING: boot index.v2.html; npm test runs smoke + fidelity.</t>
        </is>
      </c>
      <c r="F23" s="5" t="inlineStr">
        <is>
          <t>Live game is index.html; package.json test = check:v2 + check:assets + test:v4 (no test:v2/test:fidelity scripts). WORDPRESS/, dist/, _legacy_archive/, SacredOnes.1/ are not in the repo.</t>
        </is>
      </c>
      <c r="G23" s="5" t="inlineStr">
        <is>
          <t>README.md:L19 · package.json:L9</t>
        </is>
      </c>
      <c r="H23" s="5" t="inlineStr">
        <is>
          <t>Agents edit the wrong build; validation claims are wrong.</t>
        </is>
      </c>
      <c r="I23" s="5" t="inlineStr">
        <is>
          <t>Rewrite README/CONTRIBUTING entry + test sections from 10_System.</t>
        </is>
      </c>
      <c r="J23" s="5" t="inlineStr">
        <is>
          <t>S</t>
        </is>
      </c>
      <c r="K23" s="5" t="inlineStr">
        <is>
          <t>PLN-15</t>
        </is>
      </c>
      <c r="L23" s="5" t="inlineStr">
        <is>
          <t>Open</t>
        </is>
      </c>
    </row>
    <row r="24">
      <c r="A24" s="5" t="inlineStr">
        <is>
          <t>FND-20</t>
        </is>
      </c>
      <c r="B24" s="16" t="inlineStr">
        <is>
          <t>Low</t>
        </is>
      </c>
      <c r="C24" s="5" t="inlineStr">
        <is>
          <t>SUB-14</t>
        </is>
      </c>
      <c r="D24" s="5" t="inlineStr">
        <is>
          <t>Mobile detection duplicated in 4 places</t>
        </is>
      </c>
      <c r="E24" s="5" t="inlineStr">
        <is>
          <t>—</t>
        </is>
      </c>
      <c r="F24" s="5" t="inlineStr">
        <is>
          <t>Same UA regex in Orchestrator constructor, Orchestrator._ensurePipPipeline, AnuAdaptiveDpr.load and gltfLoaderSetup.</t>
        </is>
      </c>
      <c r="G24" s="5" t="inlineStr">
        <is>
          <t>js/v2/Orchestrator.js:L106 · js/v2/gltfLoaderSetup.js:L63</t>
        </is>
      </c>
      <c r="H24" s="5" t="inlineStr">
        <is>
          <t>Drift risk between paths.</t>
        </is>
      </c>
      <c r="I24" s="5" t="inlineStr">
        <is>
          <t>One exported isMobileDevice() in RuntimeServices or constants.</t>
        </is>
      </c>
      <c r="J24" s="5" t="inlineStr">
        <is>
          <t>S</t>
        </is>
      </c>
      <c r="K24" s="5" t="inlineStr">
        <is>
          <t>PLN-14</t>
        </is>
      </c>
      <c r="L24" s="5" t="inlineStr">
        <is>
          <t>Open</t>
        </is>
      </c>
    </row>
    <row r="25">
      <c r="A25" s="5" t="inlineStr">
        <is>
          <t>FND-21</t>
        </is>
      </c>
      <c r="B25" s="15" t="inlineStr">
        <is>
          <t>Medium</t>
        </is>
      </c>
      <c r="C25" s="5" t="inlineStr">
        <is>
          <t>SUB-05</t>
        </is>
      </c>
      <c r="D25" s="5" t="inlineStr">
        <is>
          <t>PiP posted a PIP_FRAME bitmap to a frame that never listens</t>
        </is>
      </c>
      <c r="E25" s="5" t="inlineStr">
        <is>
          <t>Panel iframe shows the minimap frame.</t>
        </is>
      </c>
      <c r="F25" s="5" t="inlineStr">
        <is>
          <t>limbo.py: PIP_FRAME had 1 sender (Orchestrator) and 0 receivers across index.html, Panel, Journal, NewJournal, LoadingModal. Panel handles 10 other types only. Raised by Coder 1; verified.</t>
        </is>
      </c>
      <c r="G25" s="5" t="inlineStr">
        <is>
          <t>js/v2/Orchestrator.js:L1443</t>
        </is>
      </c>
      <c r="H25" s="5" t="inlineStr">
        <is>
          <t>createImageBitmap + postMessage on every PiP render; forced preserveDrawingBuffer.</t>
        </is>
      </c>
      <c r="I25" s="5" t="inlineStr">
        <is>
          <t>Removed; preserveDrawingBuffer false.</t>
        </is>
      </c>
      <c r="J25" s="5" t="inlineStr">
        <is>
          <t>S</t>
        </is>
      </c>
      <c r="K25" s="5" t="inlineStr">
        <is>
          <t>PLN-06</t>
        </is>
      </c>
      <c r="L25" s="5" t="inlineStr">
        <is>
          <t>Fixed in code</t>
        </is>
      </c>
    </row>
    <row r="26">
      <c r="A26" s="5" t="inlineStr">
        <is>
          <t>FND-22</t>
        </is>
      </c>
      <c r="B26" s="16" t="inlineStr">
        <is>
          <t>Low</t>
        </is>
      </c>
      <c r="C26" s="5" t="inlineStr">
        <is>
          <t>SUB-05</t>
        </is>
      </c>
      <c r="D26" s="5" t="inlineStr">
        <is>
          <t>Fishing PiP ran a full-scene name scan that hid nothing visible</t>
        </is>
      </c>
      <c r="E26" s="5" t="inlineStr">
        <is>
          <t>Scan keeps the fishing PiP focused on the gauge.</t>
        </is>
      </c>
      <c r="F26" s="5" t="inlineStr">
        <is>
          <t>Close-up camera uses layers.set(2); layer-2 objects (pool water, basin, fish, gauge) match none of the hide rules. Raised by Coder 1; verified against every layers.enable(2) site.</t>
        </is>
      </c>
      <c r="G26" s="5" t="inlineStr">
        <is>
          <t>js/v2/Orchestrator.js:L1592 · js/v2/Orchestrator.js:L1290</t>
        </is>
      </c>
      <c r="H26" s="5" t="inlineStr">
        <is>
          <t>~40 string tests per scene object every other frame while fishing.</t>
        </is>
      </c>
      <c r="I26" s="5" t="inlineStr">
        <is>
          <t>Skipped when the bobber exists.</t>
        </is>
      </c>
      <c r="J26" s="5" t="inlineStr">
        <is>
          <t>S</t>
        </is>
      </c>
      <c r="K26" s="5" t="inlineStr">
        <is>
          <t>PLN-06</t>
        </is>
      </c>
      <c r="L26" s="5" t="inlineStr">
        <is>
          <t>Fixed in code</t>
        </is>
      </c>
    </row>
    <row r="27">
      <c r="A27" s="5" t="inlineStr">
        <is>
          <t>FND-23</t>
        </is>
      </c>
      <c r="B27" s="14" t="inlineStr">
        <is>
          <t>High</t>
        </is>
      </c>
      <c r="C27" s="5" t="inlineStr">
        <is>
          <t>SUB-13</t>
        </is>
      </c>
      <c r="D27" s="5" t="inlineStr">
        <is>
          <t>Journal commands go nowhere in the live game</t>
        </is>
      </c>
      <c r="E27" s="5" t="inlineStr">
        <is>
          <t>index.html L179 comment: the page relays PROCESS_INPUT / RETURN_TO_GAME; journal is the LLM interaction layer.</t>
        </is>
      </c>
      <c r="F27" s="5" t="inlineStr">
        <is>
          <t>PROCESS_INPUT, JOURNAL_START_GAME_INTRO and JOURNAL_GREET_BHG are sent by Component.NewJournal.html and handled only in index.v2.html / legacy EngineMain.js. No live receiver.</t>
        </is>
      </c>
      <c r="G27" s="5" t="inlineStr">
        <is>
          <t>js/components/Component.NewJournal.html:L971 · index.html:L179</t>
        </is>
      </c>
      <c r="H27" s="5" t="inlineStr">
        <is>
          <t>Typed journal commands, START GAME and GREET HER do nothing — the accessibility path in the manifesto is cut.</t>
        </is>
      </c>
      <c r="I27" s="5" t="inlineStr">
        <is>
          <t>Port the handlers into a sanctuary module (JournalBridge).</t>
        </is>
      </c>
      <c r="J27" s="5" t="inlineStr">
        <is>
          <t>M</t>
        </is>
      </c>
      <c r="K27" s="5" t="inlineStr">
        <is>
          <t>PLN-17</t>
        </is>
      </c>
      <c r="L27" s="5" t="inlineStr">
        <is>
          <t>Open</t>
        </is>
      </c>
    </row>
    <row r="28">
      <c r="A28" s="5" t="inlineStr">
        <is>
          <t>FND-24</t>
        </is>
      </c>
      <c r="B28" s="15" t="inlineStr">
        <is>
          <t>Medium</t>
        </is>
      </c>
      <c r="C28" s="5" t="inlineStr">
        <is>
          <t>SUB-10</t>
        </is>
      </c>
      <c r="D28" s="5" t="inlineStr">
        <is>
          <t>GENERATE SCENE silently skips terrain and pool regeneration</t>
        </is>
      </c>
      <c r="E28" s="5" t="inlineStr">
        <is>
          <t>Generate rebuilds terrain and pool.</t>
        </is>
      </c>
      <c r="F28" s="5" t="inlineStr">
        <is>
          <t>window.__regenerateTerrain and window.__regeneratePoolObjects are called behind if-guards but assigned nowhere in live code.</t>
        </is>
      </c>
      <c r="G28" s="5" t="inlineStr">
        <is>
          <t>js/sanctuary/SanctuaryToolPalette.js:L423 · js/sanctuary/SanctuaryToolPalette.js:L443</t>
        </is>
      </c>
      <c r="H28" s="5" t="inlineStr">
        <is>
          <t>Map generation is partial without any error.</t>
        </is>
      </c>
      <c r="I28" s="5" t="inlineStr">
        <is>
          <t>Implement in SanctuaryGround / SanctuaryPool or remove the steps.</t>
        </is>
      </c>
      <c r="J28" s="5" t="inlineStr">
        <is>
          <t>M</t>
        </is>
      </c>
      <c r="K28" s="5" t="inlineStr">
        <is>
          <t>PLN-18</t>
        </is>
      </c>
      <c r="L28" s="5" t="inlineStr">
        <is>
          <t>Open</t>
        </is>
      </c>
    </row>
    <row r="29">
      <c r="A29" s="5" t="inlineStr">
        <is>
          <t>FND-25</t>
        </is>
      </c>
      <c r="B29" s="16" t="inlineStr">
        <is>
          <t>Low</t>
        </is>
      </c>
      <c r="C29" s="5" t="inlineStr">
        <is>
          <t>SUB-05</t>
        </is>
      </c>
      <c r="D29" s="5" t="inlineStr">
        <is>
          <t>PiP toggle calls a function that does not exist</t>
        </is>
      </c>
      <c r="E29" s="5" t="inlineStr">
        <is>
          <t>Shortcut suspends the PiP second renderer.</t>
        </is>
      </c>
      <c r="F29" s="5" t="inlineStr">
        <is>
          <t>index.html calls window._v4TogglePip behind a typeof guard; nothing assigns it.</t>
        </is>
      </c>
      <c r="G29" s="5" t="inlineStr">
        <is>
          <t>index.html:L801</t>
        </is>
      </c>
      <c r="H29" s="5" t="inlineStr">
        <is>
          <t>Toggle does nothing.</t>
        </is>
      </c>
      <c r="I29" s="5" t="inlineStr">
        <is>
          <t>Implement on the orchestrator or remove the binding.</t>
        </is>
      </c>
      <c r="J29" s="5" t="inlineStr">
        <is>
          <t>S</t>
        </is>
      </c>
      <c r="K29" s="5" t="inlineStr">
        <is>
          <t>PLN-18</t>
        </is>
      </c>
      <c r="L29" s="5" t="inlineStr">
        <is>
          <t>Open</t>
        </is>
      </c>
    </row>
    <row r="30">
      <c r="A30" s="5" t="inlineStr">
        <is>
          <t>FND-26</t>
        </is>
      </c>
      <c r="B30" s="16" t="inlineStr">
        <is>
          <t>Low</t>
        </is>
      </c>
      <c r="C30" s="5" t="inlineStr">
        <is>
          <t>SUB-05</t>
        </is>
      </c>
      <c r="D30" s="5" t="inlineStr">
        <is>
          <t>PiP protect rule names a selector that no longer exists</t>
        </is>
      </c>
      <c r="E30" s="5" t="inlineStr">
        <is>
          <t>Rule protects #pipCanvas inside #moondial-wrapper.</t>
        </is>
      </c>
      <c r="F30" s="5" t="inlineStr">
        <is>
          <t>Live element is #v2-pip-canvas inside #pip-compass-wrapper (UIModule). Raised by Coder 1; verified.</t>
        </is>
      </c>
      <c r="G30" s="5" t="inlineStr">
        <is>
          <t>.cursor/rules/sacred-pip-map-protect.mdc:L10 · js/v2/UIModule.js:L218</t>
        </is>
      </c>
      <c r="H30" s="5" t="inlineStr">
        <is>
          <t>Agents may not recognise the live PiP as protected.</t>
        </is>
      </c>
      <c r="I30" s="5" t="inlineStr">
        <is>
          <t>Update the rule's selector text.</t>
        </is>
      </c>
      <c r="J30" s="5" t="inlineStr">
        <is>
          <t>S</t>
        </is>
      </c>
      <c r="K30" s="5" t="inlineStr">
        <is>
          <t>PLN-19</t>
        </is>
      </c>
      <c r="L30" s="5" t="inlineStr">
        <is>
          <t>Open</t>
        </is>
      </c>
    </row>
    <row r="31">
      <c r="A31" s="5" t="inlineStr">
        <is>
          <t>FND-27</t>
        </is>
      </c>
      <c r="B31" s="16" t="inlineStr">
        <is>
          <t>Low</t>
        </is>
      </c>
      <c r="C31" s="5" t="inlineStr">
        <is>
          <t>SUB-15</t>
        </is>
      </c>
      <c r="D31" s="5" t="inlineStr">
        <is>
          <t>WorldPhysics service is looked up but only the legacy build registers it</t>
        </is>
      </c>
      <c r="E31" s="5" t="inlineStr">
        <is>
          <t>Shared structure helpers read terrain height from WorldPhysics.</t>
        </is>
      </c>
      <c r="F31" s="5" t="inlineStr">
        <is>
          <t>getRuntimeService('WorldPhysics') in WorldStructures.js; registerRuntimeService('WorldPhysics') only in World.js (index.v2.html). Whether the live game reaches those helper lines is not yet traced.</t>
        </is>
      </c>
      <c r="G31" s="5" t="inlineStr">
        <is>
          <t>js/v2/WorldStructures.js:L822 · js/v2/World.js:L616</t>
        </is>
      </c>
      <c r="H31" s="5" t="inlineStr">
        <is>
          <t>Unknown until the call path is traced.</t>
        </is>
      </c>
      <c r="I31" s="5" t="inlineStr">
        <is>
          <t>Trace callers; register a sanctuary WorldPhysics shim if reached.</t>
        </is>
      </c>
      <c r="J31" s="5" t="inlineStr">
        <is>
          <t>S</t>
        </is>
      </c>
      <c r="K31" s="5" t="inlineStr">
        <is>
          <t>PLN-18</t>
        </is>
      </c>
      <c r="L31" s="5" t="inlineStr">
        <is>
          <t>Open</t>
        </is>
      </c>
    </row>
    <row r="32">
      <c r="A32" s="5" t="inlineStr">
        <is>
          <t>FND-28</t>
        </is>
      </c>
      <c r="B32" s="15" t="inlineStr">
        <is>
          <t>Medium</t>
        </is>
      </c>
      <c r="C32" s="5" t="inlineStr">
        <is>
          <t>SUB-11</t>
        </is>
      </c>
      <c r="D32" s="5" t="inlineStr">
        <is>
          <t>Fishing pins the DPR floor at 1.5</t>
        </is>
      </c>
      <c r="E32" s="5" t="inlineStr">
        <is>
          <t>Keeps the fishing close-up crisp.</t>
        </is>
      </c>
      <c r="F32" s="5" t="inlineStr">
        <is>
          <t>setMinDpr(1.5) on entering fishing; desktop DPR cap is 1.5, so fishing can never shed resolution.</t>
        </is>
      </c>
      <c r="G32" s="5" t="inlineStr">
        <is>
          <t>js/sanctuary/SanctuaryFishing.js:L1354</t>
        </is>
      </c>
      <c r="H32" s="5" t="inlineStr">
        <is>
          <t>Full fill-rate cost for the whole fishing session.</t>
        </is>
      </c>
      <c r="I32" s="5" t="inlineStr">
        <is>
          <t>Decide: floor 1.25, or keep for crispness.</t>
        </is>
      </c>
      <c r="J32" s="5" t="inlineStr">
        <is>
          <t>S</t>
        </is>
      </c>
      <c r="K32" s="5" t="inlineStr">
        <is>
          <t>PLN-16</t>
        </is>
      </c>
      <c r="L32" s="5" t="inlineStr">
        <is>
          <t>Open</t>
        </is>
      </c>
    </row>
    <row r="33">
      <c r="A33" s="5" t="inlineStr">
        <is>
          <t>FND-29</t>
        </is>
      </c>
      <c r="B33" s="15" t="inlineStr">
        <is>
          <t>Medium</t>
        </is>
      </c>
      <c r="C33" s="5" t="inlineStr">
        <is>
          <t>SUB-08</t>
        </is>
      </c>
      <c r="D33" s="5" t="inlineStr">
        <is>
          <t>Avatar is 246k skinned triangles with 2×4096² maps and casts a shadow</t>
        </is>
      </c>
      <c r="E33" s="5" t="inlineStr">
        <is>
          <t>gltfLoaderSetup comment: Avatar-New is already low-poly.</t>
        </is>
      </c>
      <c r="F33" s="5" t="inlineStr">
        <is>
          <t>Avatar-New.glb = 245,991 tris, 170.6 MB texture VRAM; castShadow true, so it is drawn in the shadow pass too.</t>
        </is>
      </c>
      <c r="G33" s="5" t="inlineStr">
        <is>
          <t>js/sanctuary/SanctuaryAvatar.js:L49 · js/sanctuary/SanctuaryAvatar.js:L122</t>
        </is>
      </c>
      <c r="H33" s="5" t="inlineStr">
        <is>
          <t>Largest remaining skinned mesh; three passes (main, shadow, Village View PiP).</t>
        </is>
      </c>
      <c r="I33" s="5" t="inlineStr">
        <is>
          <t>Lite avatar (~40k tris, 2048 px) built and verified like REG.</t>
        </is>
      </c>
      <c r="J33" s="5" t="inlineStr">
        <is>
          <t>S</t>
        </is>
      </c>
      <c r="K33" s="5" t="inlineStr">
        <is>
          <t>PLN-20</t>
        </is>
      </c>
      <c r="L33" s="5" t="inlineStr">
        <is>
          <t>Open</t>
        </is>
      </c>
    </row>
    <row r="34">
      <c r="A34" s="5" t="inlineStr">
        <is>
          <t>FND-30</t>
        </is>
      </c>
      <c r="B34" s="16" t="inlineStr">
        <is>
          <t>Low</t>
        </is>
      </c>
      <c r="C34" s="5" t="inlineStr">
        <is>
          <t>SUB-07</t>
        </is>
      </c>
      <c r="D34" s="5" t="inlineStr">
        <is>
          <t>Comments say the gauge left layer 2; code still puts it there</t>
        </is>
      </c>
      <c r="E34" s="5" t="inlineStr">
        <is>
          <t>SanctuaryFish / SanctuaryPool comments: gauge removed from layer 2.</t>
        </is>
      </c>
      <c r="F34" s="5" t="inlineStr">
        <is>
          <t>_build3DGauge enables layer 2 on every gauge child.</t>
        </is>
      </c>
      <c r="G34" s="5" t="inlineStr">
        <is>
          <t>js/sanctuary/SanctuaryFishing.js:L434 · js/sanctuary/SanctuaryPool.js:L283</t>
        </is>
      </c>
      <c r="H34" s="5" t="inlineStr">
        <is>
          <t>Misleads anyone tuning the fish-finder view.</t>
        </is>
      </c>
      <c r="I34" s="5" t="inlineStr">
        <is>
          <t>Correct the comments (or remove the gauge from layer 2 if that was the intent).</t>
        </is>
      </c>
      <c r="J34" s="5" t="inlineStr">
        <is>
          <t>S</t>
        </is>
      </c>
      <c r="K34" s="5" t="inlineStr">
        <is>
          <t>PLN-15</t>
        </is>
      </c>
      <c r="L34" s="5" t="inlineStr">
        <is>
          <t>Open</t>
        </is>
      </c>
    </row>
    <row r="35">
      <c r="A35" s="5" t="inlineStr">
        <is>
          <t>FND-31</t>
        </is>
      </c>
      <c r="B35" s="16" t="inlineStr">
        <is>
          <t>Low</t>
        </is>
      </c>
      <c r="C35" s="5" t="inlineStr">
        <is>
          <t>SUB-05</t>
        </is>
      </c>
      <c r="D35" s="5" t="inlineStr">
        <is>
          <t>Old PiP uniform stash could leave shared clocks at zero</t>
        </is>
      </c>
      <c r="E35" s="5" t="inlineStr">
        <is>
          <t>Stash/restore leaves time uniforms as they were.</t>
        </is>
      </c>
      <c r="F35" s="5" t="inlineStr">
        <is>
          <t>A uniform reached twice (global clock + material reference) was pushed twice; restore wrote the real value then 0.</t>
        </is>
      </c>
      <c r="G35" s="5" t="inlineStr">
        <is>
          <t>js/v2/Orchestrator.js:L1537</t>
        </is>
      </c>
      <c r="H35" s="5" t="inlineStr">
        <is>
          <t>Shared clock read 0 until its owner's next update.</t>
        </is>
      </c>
      <c r="I35" s="5" t="inlineStr">
        <is>
          <t>De-duplicated in _getPipTimeUniforms.</t>
        </is>
      </c>
      <c r="J35" s="5" t="inlineStr">
        <is>
          <t>S</t>
        </is>
      </c>
      <c r="K35" s="5" t="inlineStr">
        <is>
          <t>PLN-06</t>
        </is>
      </c>
      <c r="L35" s="5" t="inlineStr">
        <is>
          <t>Fixed in code</t>
        </is>
      </c>
    </row>
    <row r="36">
      <c r="A36" s="5" t="inlineStr">
        <is>
          <t>FND-32</t>
        </is>
      </c>
      <c r="B36" s="14" t="inlineStr">
        <is>
          <t>High</t>
        </is>
      </c>
      <c r="C36" s="5" t="inlineStr">
        <is>
          <t>SUB-11</t>
        </is>
      </c>
      <c r="D36" s="5" t="inlineStr">
        <is>
          <t>Every catch leaks a 512² texture, a material and a cloned geometry</t>
        </is>
      </c>
      <c r="E36" s="5" t="inlineStr">
        <is>
          <t>Removed fish are cleaned up.</t>
        </is>
      </c>
      <c r="F36" s="5" t="inlineStr">
        <is>
          <t>_createFishMesh builds a MeshPhysicalMaterial + 512² CanvasTexture + geometry.clone() per catch; hook removals (3 sites) never dispose; the dispose loops call material.dispose() but never material.map.dispose(). ~5.4 MB per catch.</t>
        </is>
      </c>
      <c r="G36" s="5" t="inlineStr">
        <is>
          <t>js/sanctuary/SanctuaryFishing.js:L2819 · js/sanctuary/SanctuaryFishing.js:L1404</t>
        </is>
      </c>
      <c r="H36" s="5" t="inlineStr">
        <is>
          <t>GPU memory grows ~109 MB after 20 catches.</t>
        </is>
      </c>
      <c r="I36" s="5" t="inlineStr">
        <is>
          <t>Playbook card C-01: one shared geometry/material/texture + _releaseFish().</t>
        </is>
      </c>
      <c r="J36" s="5" t="inlineStr">
        <is>
          <t>M</t>
        </is>
      </c>
      <c r="K36" s="5" t="inlineStr">
        <is>
          <t>PLN-21</t>
        </is>
      </c>
      <c r="L36" s="5" t="inlineStr">
        <is>
          <t>Open</t>
        </is>
      </c>
    </row>
    <row r="37">
      <c r="A37" s="5" t="inlineStr">
        <is>
          <t>FND-33</t>
        </is>
      </c>
      <c r="B37" s="15" t="inlineStr">
        <is>
          <t>Medium</t>
        </is>
      </c>
      <c r="C37" s="5" t="inlineStr">
        <is>
          <t>SUB-07</t>
        </is>
      </c>
      <c r="D37" s="5" t="inlineStr">
        <is>
          <t>Small-fish school culled while on screen (frozen bounding sphere)</t>
        </is>
      </c>
      <c r="E37" s="5" t="inlineStr">
        <is>
          <t>InstancedMesh culls correctly.</t>
        </is>
      </c>
      <c r="F37" s="5" t="inlineStr">
        <is>
          <t>three r160 computes InstancedMesh.boundingSphere once on first cull (radius 0.67–3.73 m in simulation); fish swim 4.88–9 m out.</t>
        </is>
      </c>
      <c r="G37" s="5" t="inlineStr">
        <is>
          <t>js/sanctuary/SanctuaryFish.js:L643</t>
        </is>
      </c>
      <c r="H37" s="5" t="inlineStr">
        <is>
          <t>School pops out at the edges of the view.</t>
        </is>
      </c>
      <c r="I37" s="5" t="inlineStr">
        <is>
          <t>Playbook card C-02: fixed sphere covering the pool.</t>
        </is>
      </c>
      <c r="J37" s="5" t="inlineStr">
        <is>
          <t>S</t>
        </is>
      </c>
      <c r="K37" s="5" t="inlineStr">
        <is>
          <t>PLN-21</t>
        </is>
      </c>
      <c r="L37" s="5" t="inlineStr">
        <is>
          <t>Open</t>
        </is>
      </c>
    </row>
    <row r="38">
      <c r="A38" s="5" t="inlineStr">
        <is>
          <t>FND-34</t>
        </is>
      </c>
      <c r="B38" s="15" t="inlineStr">
        <is>
          <t>Medium</t>
        </is>
      </c>
      <c r="C38" s="5" t="inlineStr">
        <is>
          <t>SUB-07</t>
        </is>
      </c>
      <c r="D38" s="5" t="inlineStr">
        <is>
          <t>15 fish behaviours ignore the stride under stress</t>
        </is>
      </c>
      <c r="E38" s="5" t="inlineStr">
        <is>
          <t>update(delta) scales by stride everywhere.</t>
        </is>
      </c>
      <c r="F38" s="5" t="inlineStr">
        <is>
          <t>Most motion uses delta*stride; 15 lines in update() use raw delta (awk check in C-03), so at stride 6 they run at 1/6 speed.</t>
        </is>
      </c>
      <c r="G38" s="5" t="inlineStr">
        <is>
          <t>js/sanctuary/SanctuaryFish.js:L1532</t>
        </is>
      </c>
      <c r="H38" s="5" t="inlineStr">
        <is>
          <t>Fish hover/turn/chase slowly exactly when the game is already struggling.</t>
        </is>
      </c>
      <c r="I38" s="5" t="inlineStr">
        <is>
          <t>Playbook card C-03: const dt = delta * stride.</t>
        </is>
      </c>
      <c r="J38" s="5" t="inlineStr">
        <is>
          <t>S</t>
        </is>
      </c>
      <c r="K38" s="5" t="inlineStr">
        <is>
          <t>PLN-21</t>
        </is>
      </c>
      <c r="L38" s="5" t="inlineStr">
        <is>
          <t>Open</t>
        </is>
      </c>
    </row>
    <row r="39">
      <c r="A39" s="5" t="inlineStr">
        <is>
          <t>FND-35</t>
        </is>
      </c>
      <c r="B39" s="14" t="inlineStr">
        <is>
          <t>High</t>
        </is>
      </c>
      <c r="C39" s="5" t="inlineStr">
        <is>
          <t>SUB-06</t>
        </is>
      </c>
      <c r="D39" s="5" t="inlineStr">
        <is>
          <t>Lily flowers: 182 draws + 165 shadow casters for 3,136 triangles</t>
        </is>
      </c>
      <c r="E39" s="5" t="inlineStr">
        <is>
          <t>Lilies are cheap.</t>
        </is>
      </c>
      <c r="F39" s="5" t="inlineStr">
        <is>
          <t>scene_census + test_mergeStatic: each flower is many child meshes; merged per material → 50 draws, 0 shadow casters, identical vertices and colours.</t>
        </is>
      </c>
      <c r="G39" s="5" t="inlineStr">
        <is>
          <t>js/sanctuary/SanctuaryPool.js:L1700</t>
        </is>
      </c>
      <c r="H39" s="5" t="inlineStr">
        <is>
          <t>~347 draw submissions per frame on the CPU.</t>
        </is>
      </c>
      <c r="I39" s="5" t="inlineStr">
        <is>
          <t>Playbook card C-04: mergeStaticChildren per flower group.</t>
        </is>
      </c>
      <c r="J39" s="5" t="inlineStr">
        <is>
          <t>S</t>
        </is>
      </c>
      <c r="K39" s="5" t="inlineStr">
        <is>
          <t>PLN-21</t>
        </is>
      </c>
      <c r="L39" s="5" t="inlineStr">
        <is>
          <t>Open</t>
        </is>
      </c>
    </row>
    <row r="40">
      <c r="A40" s="5" t="inlineStr">
        <is>
          <t>FND-36</t>
        </is>
      </c>
      <c r="B40" s="15" t="inlineStr">
        <is>
          <t>Medium</t>
        </is>
      </c>
      <c r="C40" s="5" t="inlineStr">
        <is>
          <t>SUB-06</t>
        </is>
      </c>
      <c r="D40" s="5" t="inlineStr">
        <is>
          <t>Shoreline rocks: 60 materials that differ only in colour</t>
        </is>
      </c>
      <c r="E40" s="5" t="inlineStr">
        <is>
          <t>Rocks need their own materials.</t>
        </is>
      </c>
      <c r="F40" s="5" t="inlineStr">
        <is>
          <t>test_mergeStatic: tint → vertex colour merge gives 60 → 2 draws and shadow casters; worst vertex shift 4.77e-7 m; moss shader kept.</t>
        </is>
      </c>
      <c r="G40" s="5" t="inlineStr">
        <is>
          <t>js/sanctuary/SanctuaryPool.js:L1323</t>
        </is>
      </c>
      <c r="H40" s="5" t="inlineStr">
        <is>
          <t>116 extra draws per frame.</t>
        </is>
      </c>
      <c r="I40" s="5" t="inlineStr">
        <is>
          <t>Playbook card C-05.</t>
        </is>
      </c>
      <c r="J40" s="5" t="inlineStr">
        <is>
          <t>S</t>
        </is>
      </c>
      <c r="K40" s="5" t="inlineStr">
        <is>
          <t>PLN-21</t>
        </is>
      </c>
      <c r="L40" s="5" t="inlineStr">
        <is>
          <t>Open</t>
        </is>
      </c>
    </row>
    <row r="41">
      <c r="A41" s="5" t="inlineStr">
        <is>
          <t>FND-37</t>
        </is>
      </c>
      <c r="B41" s="16" t="inlineStr">
        <is>
          <t>Low</t>
        </is>
      </c>
      <c r="C41" s="5" t="inlineStr">
        <is>
          <t>SUB-06</t>
        </is>
      </c>
      <c r="D41" s="5" t="inlineStr">
        <is>
          <t>Flat transparent DoubleSide sheets draw twice (water, circles, ripples)</t>
        </is>
      </c>
      <c r="E41" s="5" t="inlineStr">
        <is>
          <t>One mesh = one draw.</t>
        </is>
      </c>
      <c r="F41" s="5" t="inlineStr">
        <is>
          <t>r160 renders transparent+DoubleSide in two passes unless forceSinglePass; water 2, circles 16 in the census.</t>
        </is>
      </c>
      <c r="G41" s="5" t="inlineStr">
        <is>
          <t>js/sanctuary/SanctuaryCircles.js:L74</t>
        </is>
      </c>
      <c r="H41" s="5" t="inlineStr">
        <is>
          <t>9+ wasted draws per frame.</t>
        </is>
      </c>
      <c r="I41" s="5" t="inlineStr">
        <is>
          <t>Playbook card C-06: forceSinglePass on flat sheets only.</t>
        </is>
      </c>
      <c r="J41" s="5" t="inlineStr">
        <is>
          <t>S</t>
        </is>
      </c>
      <c r="K41" s="5" t="inlineStr">
        <is>
          <t>PLN-21</t>
        </is>
      </c>
      <c r="L41" s="5" t="inlineStr">
        <is>
          <t>Open</t>
        </is>
      </c>
    </row>
    <row r="42">
      <c r="A42" s="5" t="inlineStr">
        <is>
          <t>FND-38</t>
        </is>
      </c>
      <c r="B42" s="15" t="inlineStr">
        <is>
          <t>Medium</t>
        </is>
      </c>
      <c r="C42" s="5" t="inlineStr">
        <is>
          <t>SUB-06</t>
        </is>
      </c>
      <c r="D42" s="5" t="inlineStr">
        <is>
          <t>Turtle 34 draws / 30 casters, dock 37 draws</t>
        </is>
      </c>
      <c r="E42" s="5" t="inlineStr">
        <is>
          <t>Static props are already cheap.</t>
        </is>
      </c>
      <c r="F42" s="5" t="inlineStr">
        <is>
          <t>test_mergeOthers: turtle 34 → 13 (animated refs kept), dock 37 → 3, both identical.</t>
        </is>
      </c>
      <c r="G42" s="5" t="inlineStr">
        <is>
          <t>js/sanctuary/SanctuaryPool.js:L860 · js/sanctuary/SanctuaryDock.js:L439</t>
        </is>
      </c>
      <c r="H42" s="5" t="inlineStr">
        <is>
          <t>55 draws + 37 shadow draws.</t>
        </is>
      </c>
      <c r="I42" s="5" t="inlineStr">
        <is>
          <t>Playbook card C-07.</t>
        </is>
      </c>
      <c r="J42" s="5" t="inlineStr">
        <is>
          <t>S</t>
        </is>
      </c>
      <c r="K42" s="5" t="inlineStr">
        <is>
          <t>PLN-21</t>
        </is>
      </c>
      <c r="L42" s="5" t="inlineStr">
        <is>
          <t>Open</t>
        </is>
      </c>
    </row>
    <row r="43">
      <c r="A43" s="5" t="inlineStr">
        <is>
          <t>FND-39</t>
        </is>
      </c>
      <c r="B43" s="16" t="inlineStr">
        <is>
          <t>Low</t>
        </is>
      </c>
      <c r="C43" s="5" t="inlineStr">
        <is>
          <t>SUB-06</t>
        </is>
      </c>
      <c r="D43" s="5" t="inlineStr">
        <is>
          <t>Water normal-map scroll patch is dead</t>
        </is>
      </c>
      <c r="E43" s="5" t="inlineStr">
        <is>
          <t>Comment: dual-scrolling normal blend.</t>
        </is>
      </c>
      <c r="F43" s="5" t="inlineStr">
        <is>
          <t>patchcheck.mjs: the replace target 'texture2D( normalMap, vNormalMapUv ).xyz' is not in r160's raw ShaderLib (it lives inside an #include chunk). 1 dead of 28 shader replaces in js/sanctuary.</t>
        </is>
      </c>
      <c r="G43" s="5" t="inlineStr">
        <is>
          <t>js/sanctuary/SanctuaryPool.js:L196</t>
        </is>
      </c>
      <c r="H43" s="5" t="inlineStr">
        <is>
          <t>Visual effect never shows.</t>
        </is>
      </c>
      <c r="I43" s="5" t="inlineStr">
        <is>
          <t>Owner decision (C-10 #4): make it work or delete it.</t>
        </is>
      </c>
      <c r="J43" s="5" t="inlineStr">
        <is>
          <t>S</t>
        </is>
      </c>
      <c r="K43" s="5" t="inlineStr">
        <is>
          <t>PLN-21</t>
        </is>
      </c>
      <c r="L43" s="5" t="inlineStr">
        <is>
          <t>Open</t>
        </is>
      </c>
    </row>
    <row r="44">
      <c r="A44" s="5" t="inlineStr">
        <is>
          <t>FND-40</t>
        </is>
      </c>
      <c r="B44" s="16" t="inlineStr">
        <is>
          <t>Low</t>
        </is>
      </c>
      <c r="C44" s="5" t="inlineStr">
        <is>
          <t>SUB-06</t>
        </is>
      </c>
      <c r="D44" s="5" t="inlineStr">
        <is>
          <t>getWaveHeight does not match the water vertex shader</t>
        </is>
      </c>
      <c r="E44" s="5" t="inlineStr">
        <is>
          <t>Comment: 'must match the vertex shader exactly'.</t>
        </is>
      </c>
      <c r="F44" s="5" t="inlineStr">
        <is>
          <t>JS: freq 22/36, speed 0.32/0.45, amp 0.005/0.003, fade 0.35. Shader: 10/18, 0.785/1.047, 0.020/0.008, fade 0.32.</t>
        </is>
      </c>
      <c r="G44" s="5" t="inlineStr">
        <is>
          <t>js/sanctuary/SanctuaryPool.js:L1769 · js/sanctuary/SanctuaryPool.js:L180</t>
        </is>
      </c>
      <c r="H44" s="5" t="inlineStr">
        <is>
          <t>Pads bob out of step with the visible swell.</t>
        </is>
      </c>
      <c r="I44" s="5" t="inlineStr">
        <is>
          <t>Owner decision (C-10 #5).</t>
        </is>
      </c>
      <c r="J44" s="5" t="inlineStr">
        <is>
          <t>S</t>
        </is>
      </c>
      <c r="K44" s="5" t="inlineStr">
        <is>
          <t>PLN-21</t>
        </is>
      </c>
      <c r="L44" s="5" t="inlineStr">
        <is>
          <t>Open</t>
        </is>
      </c>
    </row>
    <row r="45">
      <c r="A45" s="5" t="inlineStr">
        <is>
          <t>FND-41</t>
        </is>
      </c>
      <c r="B45" s="16" t="inlineStr">
        <is>
          <t>Low</t>
        </is>
      </c>
      <c r="C45" s="5" t="inlineStr">
        <is>
          <t>SUB-11</t>
        </is>
      </c>
      <c r="D45" s="5" t="inlineStr">
        <is>
          <t>Gauge needle is never built</t>
        </is>
      </c>
      <c r="E45" s="5" t="inlineStr">
        <is>
          <t>Gauge shows reel progress.</t>
        </is>
      </c>
      <c r="F45" s="5" t="inlineStr">
        <is>
          <t>ud.needleGroup is read but never assigned anywhere in js/.</t>
        </is>
      </c>
      <c r="G45" s="5" t="inlineStr">
        <is>
          <t>js/sanctuary/SanctuaryFishing.js:L2603</t>
        </is>
      </c>
      <c r="H45" s="5" t="inlineStr">
        <is>
          <t>No progress feedback on the 3D gauge.</t>
        </is>
      </c>
      <c r="I45" s="5" t="inlineStr">
        <is>
          <t>Owner decision (C-10 #1).</t>
        </is>
      </c>
      <c r="J45" s="5" t="inlineStr">
        <is>
          <t>S</t>
        </is>
      </c>
      <c r="K45" s="5" t="inlineStr">
        <is>
          <t>PLN-21</t>
        </is>
      </c>
      <c r="L45" s="5" t="inlineStr">
        <is>
          <t>Open</t>
        </is>
      </c>
    </row>
    <row r="46">
      <c r="A46" s="5" t="inlineStr">
        <is>
          <t>FND-42</t>
        </is>
      </c>
      <c r="B46" s="16" t="inlineStr">
        <is>
          <t>Low</t>
        </is>
      </c>
      <c r="C46" s="5" t="inlineStr">
        <is>
          <t>SUB-07</t>
        </is>
      </c>
      <c r="D46" s="5" t="inlineStr">
        <is>
          <t>New AudioContext for every fish snack, never closed</t>
        </is>
      </c>
      <c r="E46" s="5" t="inlineStr">
        <is>
          <t>Sound is fire-and-forget.</t>
        </is>
      </c>
      <c r="F46" s="5" t="inlineStr">
        <is>
          <t>new AudioContext() inside update(); no close().</t>
        </is>
      </c>
      <c r="G46" s="5" t="inlineStr">
        <is>
          <t>js/sanctuary/SanctuaryFish.js:L1017</t>
        </is>
      </c>
      <c r="H46" s="5" t="inlineStr">
        <is>
          <t>Browsers cap open contexts; sound can stop working.</t>
        </is>
      </c>
      <c r="I46" s="5" t="inlineStr">
        <is>
          <t>Playbook card C-09e.</t>
        </is>
      </c>
      <c r="J46" s="5" t="inlineStr">
        <is>
          <t>S</t>
        </is>
      </c>
      <c r="K46" s="5" t="inlineStr">
        <is>
          <t>PLN-21</t>
        </is>
      </c>
      <c r="L46" s="5" t="inlineStr">
        <is>
          <t>Open</t>
        </is>
      </c>
    </row>
    <row r="47">
      <c r="A47" s="5" t="inlineStr">
        <is>
          <t>FND-43</t>
        </is>
      </c>
      <c r="B47" s="15" t="inlineStr">
        <is>
          <t>Medium</t>
        </is>
      </c>
      <c r="C47" s="5" t="inlineStr">
        <is>
          <t>SUB-06</t>
        </is>
      </c>
      <c r="D47" s="5" t="inlineStr">
        <is>
          <t>Reeds use one 4096² texture (~85 MB VRAM) for 9,912 triangles</t>
        </is>
      </c>
      <c r="E47" s="5" t="inlineStr">
        <is>
          <t>Flora assets are light.</t>
        </is>
      </c>
      <c r="F47" s="5" t="inlineStr">
        <is>
          <t>glbjson.mjs on Assets/flora/reeds.glb: 1 texture, max 4096 px, 85.3 MB estimated VRAM.</t>
        </is>
      </c>
      <c r="G47" s="5" t="inlineStr">
        <is>
          <t>js/sanctuary/SanctuaryPondTrees.js:L42</t>
        </is>
      </c>
      <c r="H47" s="5" t="inlineStr">
        <is>
          <t>Largest single texture in the pond.</t>
        </is>
      </c>
      <c r="I47" s="5" t="inlineStr">
        <is>
          <t>Lite reeds via lite.mjs (playbook research rank 2).</t>
        </is>
      </c>
      <c r="J47" s="5" t="inlineStr">
        <is>
          <t>S</t>
        </is>
      </c>
      <c r="K47" s="5" t="inlineStr">
        <is>
          <t>PLN-03</t>
        </is>
      </c>
      <c r="L47" s="5" t="inlineStr">
        <is>
          <t>Open</t>
        </is>
      </c>
    </row>
    <row r="48">
      <c r="A48" s="5" t="inlineStr">
        <is>
          <t>FND-44</t>
        </is>
      </c>
      <c r="B48" s="14" t="inlineStr">
        <is>
          <t>High</t>
        </is>
      </c>
      <c r="C48" s="5" t="inlineStr">
        <is>
          <t>SUB-05</t>
        </is>
      </c>
      <c r="D48" s="5" t="inlineStr">
        <is>
          <t>PiP cameras enable layer 0, so the minimap redraws every default object</t>
        </is>
      </c>
      <c r="E48" s="5" t="inlineStr">
        <is>
          <t>layers.enable(1) marks what the minimap shows.</t>
        </is>
      </c>
      <c r="F48" s="5" t="inlineStr">
        <is>
          <t>Both PiP cameras enable layers 0, 1 and 3; layer 0 is every object's default.</t>
        </is>
      </c>
      <c r="G48" s="5" t="inlineStr">
        <is>
          <t>js/v2/Orchestrator.js:L1161</t>
        </is>
      </c>
      <c r="H48" s="5" t="inlineStr">
        <is>
          <t>Second WebGL context renders the whole scene.</t>
        </is>
      </c>
      <c r="I48" s="5" t="inlineStr">
        <is>
          <t>Research rank 1: layer-only PiP; owner OK needed (PiP protect rule).</t>
        </is>
      </c>
      <c r="J48" s="5" t="inlineStr">
        <is>
          <t>M</t>
        </is>
      </c>
      <c r="K48" s="5" t="inlineStr">
        <is>
          <t>PLN-06</t>
        </is>
      </c>
      <c r="L48" s="5" t="inlineStr">
        <is>
          <t>Open</t>
        </is>
      </c>
    </row>
  </sheetData>
  <autoFilter ref="A4:L4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8" customWidth="1" min="3" max="3"/>
    <col width="12" customWidth="1" min="4" max="4"/>
    <col width="10" customWidth="1" min="5" max="5"/>
    <col width="12" customWidth="1" min="6" max="6"/>
    <col width="10" customWidth="1" min="7" max="7"/>
    <col width="10" customWidth="1" min="8" max="8"/>
    <col width="8" customWidth="1" min="9" max="9"/>
    <col width="10" customWidth="1" min="10" max="10"/>
    <col width="8" customWidth="1" min="11" max="11"/>
    <col width="7" customWidth="1" min="12" max="12"/>
    <col width="9" customWidth="1" min="13" max="13"/>
    <col width="22" customWidth="1" min="14" max="14"/>
    <col width="40" customWidth="1" min="15" max="15"/>
    <col width="30" customWidth="1" min="16" max="16"/>
    <col width="10" customWidth="1" min="17" max="17"/>
    <col width="12" customWidth="1" min="18" max="18"/>
    <col width="9" customWidth="1" min="19" max="19"/>
    <col width="30" customWidth="1" min="20" max="20"/>
    <col width="10" customWidth="1" min="21" max="21"/>
    <col width="9" customWidth="1" min="22" max="22"/>
    <col width="12" customWidth="1" min="23" max="23"/>
  </cols>
  <sheetData>
    <row r="1">
      <c r="A1" s="9" t="inlineStr">
        <is>
          <t>Assets</t>
        </is>
      </c>
    </row>
    <row r="2">
      <c r="A2" s="10" t="inlineStr">
        <is>
          <t>Measured with glbjson.mjs (gltf-transform + Draco decode); VRAM = w×h×4×1.333 per context</t>
        </is>
      </c>
    </row>
    <row r="4" ht="30" customHeight="1">
      <c r="A4" s="12" t="inlineStr">
        <is>
          <t>Asset ID</t>
        </is>
      </c>
      <c r="B4" s="12" t="inlineStr">
        <is>
          <t>Path</t>
        </is>
      </c>
      <c r="C4" s="12" t="inlineStr">
        <is>
          <t>Loaded at boot</t>
        </is>
      </c>
      <c r="D4" s="12" t="inlineStr">
        <is>
          <t>Triangles (measured)</t>
        </is>
      </c>
      <c r="E4" s="12" t="inlineStr">
        <is>
          <t>Instances at boot (desktop)</t>
        </is>
      </c>
      <c r="F4" s="12" t="inlineStr">
        <is>
          <t>Boot triangles (desktop)</t>
        </is>
      </c>
      <c r="G4" s="12" t="inlineStr">
        <is>
          <t>Instances at boot (mobile)</t>
        </is>
      </c>
      <c r="H4" s="12" t="inlineStr">
        <is>
          <t>Largest texture (px)</t>
        </is>
      </c>
      <c r="I4" s="12" t="inlineStr">
        <is>
          <t>Textures</t>
        </is>
      </c>
      <c r="J4" s="12" t="inlineStr">
        <is>
          <t>Texture VRAM est. (MB)</t>
        </is>
      </c>
      <c r="K4" s="12" t="inlineStr">
        <is>
          <t>File (MB)</t>
        </is>
      </c>
      <c r="L4" s="12" t="inlineStr">
        <is>
          <t>Skinned</t>
        </is>
      </c>
      <c r="M4" s="12" t="inlineStr">
        <is>
          <t>Animations</t>
        </is>
      </c>
      <c r="N4" s="12" t="inlineStr">
        <is>
          <t>Referenced by (MOD IDs)</t>
        </is>
      </c>
      <c r="O4" s="12" t="inlineStr">
        <is>
          <t>Instance evidence</t>
        </is>
      </c>
      <c r="P4" s="12" t="inlineStr">
        <is>
          <t>Replaced asset (before)</t>
        </is>
      </c>
      <c r="Q4" s="12" t="inlineStr">
        <is>
          <t>Replaced triangles</t>
        </is>
      </c>
      <c r="R4" s="12" t="inlineStr">
        <is>
          <t>Replaced boot triangles</t>
        </is>
      </c>
      <c r="S4" s="12" t="inlineStr">
        <is>
          <t>Replaced VRAM (MB)</t>
        </is>
      </c>
      <c r="T4" s="12" t="inlineStr">
        <is>
          <t>Mobile variant (loader swap)</t>
        </is>
      </c>
      <c r="U4" s="12" t="inlineStr">
        <is>
          <t>Mobile triangles</t>
        </is>
      </c>
      <c r="V4" s="12" t="inlineStr">
        <is>
          <t>Mobile VRAM (MB)</t>
        </is>
      </c>
      <c r="W4" s="12" t="inlineStr">
        <is>
          <t>Findings</t>
        </is>
      </c>
    </row>
    <row r="5">
      <c r="A5" s="5" t="inlineStr">
        <is>
          <t>AST-01</t>
        </is>
      </c>
      <c r="B5" s="5" t="inlineStr">
        <is>
          <t>Assets/Avatar3.glb</t>
        </is>
      </c>
      <c r="C5" s="5" t="inlineStr">
        <is>
          <t>No</t>
        </is>
      </c>
      <c r="D5" s="11" t="n">
        <v>1956236</v>
      </c>
      <c r="E5" s="5" t="n">
        <v>0</v>
      </c>
      <c r="F5" s="11">
        <f>D5*E5</f>
        <v/>
      </c>
      <c r="G5" s="5" t="n">
        <v>0</v>
      </c>
      <c r="H5" s="5" t="n">
        <v>4096</v>
      </c>
      <c r="I5" s="5" t="n">
        <v>1</v>
      </c>
      <c r="J5" s="5" t="n">
        <v>85.3</v>
      </c>
      <c r="K5" s="5" t="n">
        <v>8.720000000000001</v>
      </c>
      <c r="L5" s="5" t="inlineStr">
        <is>
          <t>Yes</t>
        </is>
      </c>
      <c r="M5" s="5" t="n">
        <v>9</v>
      </c>
      <c r="N5" s="5" t="inlineStr">
        <is>
          <t>MOD-011, MOD-070, MOD-102</t>
        </is>
      </c>
      <c r="O5" s="5" t="inlineStr">
        <is>
          <t>js/sanctuary/SanctuaryAvatar.js:L50</t>
        </is>
      </c>
      <c r="P5" s="5" t="inlineStr"/>
      <c r="Q5" s="11" t="n"/>
      <c r="R5" s="11">
        <f>IF(Q5="","",Q5*E5)</f>
        <v/>
      </c>
      <c r="S5" s="5" t="n"/>
      <c r="T5" s="5" t="inlineStr"/>
      <c r="U5" s="11" t="n"/>
      <c r="V5" s="5" t="n"/>
      <c r="W5" s="5" t="inlineStr"/>
    </row>
    <row r="6">
      <c r="A6" s="5" t="inlineStr">
        <is>
          <t>AST-02</t>
        </is>
      </c>
      <c r="B6" s="5" t="inlineStr">
        <is>
          <t>Assets/animated.stag.glb</t>
        </is>
      </c>
      <c r="C6" s="5" t="inlineStr">
        <is>
          <t>No</t>
        </is>
      </c>
      <c r="D6" s="11" t="n">
        <v>748456</v>
      </c>
      <c r="E6" s="5" t="n">
        <v>0</v>
      </c>
      <c r="F6" s="11">
        <f>D6*E6</f>
        <v/>
      </c>
      <c r="G6" s="5" t="n">
        <v>0</v>
      </c>
      <c r="H6" s="5" t="n">
        <v>512</v>
      </c>
      <c r="I6" s="5" t="n">
        <v>3</v>
      </c>
      <c r="J6" s="5" t="n">
        <v>4</v>
      </c>
      <c r="K6" s="5" t="n">
        <v>2.32</v>
      </c>
      <c r="L6" s="5" t="inlineStr">
        <is>
          <t>Yes</t>
        </is>
      </c>
      <c r="M6" s="5" t="n">
        <v>1</v>
      </c>
      <c r="N6" s="5" t="inlineStr">
        <is>
          <t>MOD-075, MOD-102</t>
        </is>
      </c>
      <c r="O6" s="5" t="inlineStr">
        <is>
          <t>No load call found from an Active module (URL constant only).</t>
        </is>
      </c>
      <c r="P6" s="5" t="inlineStr"/>
      <c r="Q6" s="11" t="n"/>
      <c r="R6" s="11">
        <f>IF(Q6="","",Q6*E6)</f>
        <v/>
      </c>
      <c r="S6" s="5" t="n"/>
      <c r="T6" s="5" t="inlineStr"/>
      <c r="U6" s="11" t="n"/>
      <c r="V6" s="5" t="n"/>
      <c r="W6" s="5" t="inlineStr"/>
    </row>
    <row r="7">
      <c r="A7" s="5" t="inlineStr">
        <is>
          <t>AST-03</t>
        </is>
      </c>
      <c r="B7" s="5" t="inlineStr">
        <is>
          <t>Assets/npc/Avatar-New.glb</t>
        </is>
      </c>
      <c r="C7" s="5" t="inlineStr">
        <is>
          <t>Yes</t>
        </is>
      </c>
      <c r="D7" s="11" t="n">
        <v>245991</v>
      </c>
      <c r="E7" s="5" t="n">
        <v>1</v>
      </c>
      <c r="F7" s="11">
        <f>D7*E7</f>
        <v/>
      </c>
      <c r="G7" s="5" t="n">
        <v>1</v>
      </c>
      <c r="H7" s="5" t="n">
        <v>4096</v>
      </c>
      <c r="I7" s="5" t="n">
        <v>2</v>
      </c>
      <c r="J7" s="5" t="n">
        <v>170.6</v>
      </c>
      <c r="K7" s="5" t="n">
        <v>11.44</v>
      </c>
      <c r="L7" s="5" t="inlineStr">
        <is>
          <t>Yes</t>
        </is>
      </c>
      <c r="M7" s="5" t="n">
        <v>9</v>
      </c>
      <c r="N7" s="5" t="inlineStr">
        <is>
          <t>MOD-011, MOD-070</t>
        </is>
      </c>
      <c r="O7" s="5" t="inlineStr">
        <is>
          <t>js/sanctuary/SanctuaryAvatar.js:L49</t>
        </is>
      </c>
      <c r="P7" s="5" t="inlineStr"/>
      <c r="Q7" s="11" t="n"/>
      <c r="R7" s="11">
        <f>IF(Q7="","",Q7*E7)</f>
        <v/>
      </c>
      <c r="S7" s="5" t="n"/>
      <c r="T7" s="5" t="inlineStr"/>
      <c r="U7" s="11" t="n"/>
      <c r="V7" s="5" t="n"/>
      <c r="W7" s="5" t="inlineStr">
        <is>
          <t>FND-29</t>
        </is>
      </c>
    </row>
    <row r="8">
      <c r="A8" s="5" t="inlineStr">
        <is>
          <t>AST-04</t>
        </is>
      </c>
      <c r="B8" s="5" t="inlineStr">
        <is>
          <t>Assets/Tipi.yellowbutterfly/tipi.yellowbutterfly.glb</t>
        </is>
      </c>
      <c r="C8" s="5" t="inlineStr">
        <is>
          <t>No</t>
        </is>
      </c>
      <c r="D8" s="11" t="n">
        <v>245880</v>
      </c>
      <c r="E8" s="5" t="n">
        <v>0</v>
      </c>
      <c r="F8" s="11">
        <f>D8*E8</f>
        <v/>
      </c>
      <c r="G8" s="5" t="n">
        <v>0</v>
      </c>
      <c r="H8" s="5" t="n">
        <v>4096</v>
      </c>
      <c r="I8" s="5" t="n">
        <v>1</v>
      </c>
      <c r="J8" s="5" t="n">
        <v>85.3</v>
      </c>
      <c r="K8" s="5" t="n">
        <v>1.45</v>
      </c>
      <c r="L8" s="5" t="inlineStr"/>
      <c r="M8" s="5" t="n">
        <v>0</v>
      </c>
      <c r="N8" s="5" t="inlineStr">
        <is>
          <t>MOD-068, MOD-082, MOD-102</t>
        </is>
      </c>
      <c r="O8" s="5" t="inlineStr">
        <is>
          <t>Replaced at boot by Assets/Tipi.yellowbutterfly/tipi.yellowbutterfly.lite.glb (PLN-02); URL constant may remain in legacy helpers.</t>
        </is>
      </c>
      <c r="P8" s="5" t="inlineStr"/>
      <c r="Q8" s="11" t="n"/>
      <c r="R8" s="11">
        <f>IF(Q8="","",Q8*E8)</f>
        <v/>
      </c>
      <c r="S8" s="5" t="n"/>
      <c r="T8" s="5" t="inlineStr"/>
      <c r="U8" s="11" t="n"/>
      <c r="V8" s="5" t="n"/>
      <c r="W8" s="5" t="inlineStr">
        <is>
          <t>FND-02</t>
        </is>
      </c>
    </row>
    <row r="9">
      <c r="A9" s="5" t="inlineStr">
        <is>
          <t>AST-05</t>
        </is>
      </c>
      <c r="B9" s="5" t="inlineStr">
        <is>
          <t>Assets/pond1.glb</t>
        </is>
      </c>
      <c r="C9" s="5" t="inlineStr">
        <is>
          <t>No</t>
        </is>
      </c>
      <c r="D9" s="11" t="n">
        <v>136410</v>
      </c>
      <c r="E9" s="5" t="n">
        <v>0</v>
      </c>
      <c r="F9" s="11">
        <f>D9*E9</f>
        <v/>
      </c>
      <c r="G9" s="5" t="n">
        <v>0</v>
      </c>
      <c r="H9" s="5" t="n">
        <v>4096</v>
      </c>
      <c r="I9" s="5" t="n">
        <v>2</v>
      </c>
      <c r="J9" s="5" t="n">
        <v>170.6</v>
      </c>
      <c r="K9" s="5" t="n">
        <v>6.97</v>
      </c>
      <c r="L9" s="5" t="inlineStr"/>
      <c r="M9" s="5" t="n">
        <v>0</v>
      </c>
      <c r="N9" s="5" t="inlineStr">
        <is>
          <t>MOD-102</t>
        </is>
      </c>
      <c r="O9" s="5" t="inlineStr">
        <is>
          <t>No load call found from an Active module (URL constant only).</t>
        </is>
      </c>
      <c r="P9" s="5" t="inlineStr"/>
      <c r="Q9" s="11" t="n"/>
      <c r="R9" s="11">
        <f>IF(Q9="","",Q9*E9)</f>
        <v/>
      </c>
      <c r="S9" s="5" t="n"/>
      <c r="T9" s="5" t="inlineStr"/>
      <c r="U9" s="11" t="n"/>
      <c r="V9" s="5" t="n"/>
      <c r="W9" s="5" t="inlineStr"/>
    </row>
    <row r="10">
      <c r="A10" s="5" t="inlineStr">
        <is>
          <t>AST-06</t>
        </is>
      </c>
      <c r="B10" s="5" t="inlineStr">
        <is>
          <t>Assets/landscape-scenes/terrain/rock.mossy.glb</t>
        </is>
      </c>
      <c r="C10" s="5" t="inlineStr">
        <is>
          <t>No</t>
        </is>
      </c>
      <c r="D10" s="11" t="n">
        <v>112898</v>
      </c>
      <c r="E10" s="5" t="n">
        <v>0</v>
      </c>
      <c r="F10" s="11">
        <f>D10*E10</f>
        <v/>
      </c>
      <c r="G10" s="5" t="n">
        <v>0</v>
      </c>
      <c r="H10" s="5" t="n">
        <v>4096</v>
      </c>
      <c r="I10" s="5" t="n">
        <v>4</v>
      </c>
      <c r="J10" s="5" t="n">
        <v>87.3</v>
      </c>
      <c r="K10" s="5" t="n">
        <v>4.96</v>
      </c>
      <c r="L10" s="5" t="inlineStr"/>
      <c r="M10" s="5" t="n">
        <v>0</v>
      </c>
      <c r="N10" s="5" t="inlineStr">
        <is>
          <t>MOD-074, MOD-102</t>
        </is>
      </c>
      <c r="O10" s="5" t="inlineStr">
        <is>
          <t>No load call found from an Active module (URL constant only).</t>
        </is>
      </c>
      <c r="P10" s="5" t="inlineStr"/>
      <c r="Q10" s="11" t="n"/>
      <c r="R10" s="11">
        <f>IF(Q10="","",Q10*E10)</f>
        <v/>
      </c>
      <c r="S10" s="5" t="n"/>
      <c r="T10" s="5" t="inlineStr"/>
      <c r="U10" s="11" t="n"/>
      <c r="V10" s="5" t="n"/>
      <c r="W10" s="5" t="inlineStr"/>
    </row>
    <row r="11">
      <c r="A11" s="5" t="inlineStr">
        <is>
          <t>AST-07</t>
        </is>
      </c>
      <c r="B11" s="5" t="inlineStr">
        <is>
          <t>Assets/NPC.BHG.glb</t>
        </is>
      </c>
      <c r="C11" s="5" t="inlineStr">
        <is>
          <t>Yes</t>
        </is>
      </c>
      <c r="D11" s="11" t="n">
        <v>104336</v>
      </c>
      <c r="E11" s="5" t="n">
        <v>1</v>
      </c>
      <c r="F11" s="11">
        <f>D11*E11</f>
        <v/>
      </c>
      <c r="G11" s="5" t="n">
        <v>1</v>
      </c>
      <c r="H11" s="5" t="n">
        <v>1024</v>
      </c>
      <c r="I11" s="5" t="n">
        <v>3</v>
      </c>
      <c r="J11" s="5" t="n">
        <v>16</v>
      </c>
      <c r="K11" s="5" t="n">
        <v>1.94</v>
      </c>
      <c r="L11" s="5" t="inlineStr">
        <is>
          <t>Yes</t>
        </is>
      </c>
      <c r="M11" s="5" t="n">
        <v>7</v>
      </c>
      <c r="N11" s="5" t="inlineStr">
        <is>
          <t>MOD-038, MOD-082, MOD-102</t>
        </is>
      </c>
      <c r="O11" s="5" t="inlineStr">
        <is>
          <t>js/sanctuary/SanctuaryTipiNpcs.js:L43</t>
        </is>
      </c>
      <c r="P11" s="5" t="inlineStr"/>
      <c r="Q11" s="11" t="n"/>
      <c r="R11" s="11">
        <f>IF(Q11="","",Q11*E11)</f>
        <v/>
      </c>
      <c r="S11" s="5" t="n"/>
      <c r="T11" s="5" t="inlineStr"/>
      <c r="U11" s="11" t="n"/>
      <c r="V11" s="5" t="n"/>
      <c r="W11" s="5" t="inlineStr"/>
    </row>
    <row r="12">
      <c r="A12" s="5" t="inlineStr">
        <is>
          <t>AST-08</t>
        </is>
      </c>
      <c r="B12" s="5" t="inlineStr">
        <is>
          <t>Assets/NPC.REG.lite.glb</t>
        </is>
      </c>
      <c r="C12" s="5" t="inlineStr">
        <is>
          <t>Yes</t>
        </is>
      </c>
      <c r="D12" s="11" t="n">
        <v>60410</v>
      </c>
      <c r="E12" s="5" t="n">
        <v>1</v>
      </c>
      <c r="F12" s="11">
        <f>D12*E12</f>
        <v/>
      </c>
      <c r="G12" s="5" t="n">
        <v>1</v>
      </c>
      <c r="H12" s="5" t="n">
        <v>512</v>
      </c>
      <c r="I12" s="5" t="n">
        <v>54</v>
      </c>
      <c r="J12" s="5" t="n">
        <v>66</v>
      </c>
      <c r="K12" s="5" t="n">
        <v>5.36</v>
      </c>
      <c r="L12" s="5" t="inlineStr">
        <is>
          <t>Yes</t>
        </is>
      </c>
      <c r="M12" s="5" t="n">
        <v>6</v>
      </c>
      <c r="N12" s="5" t="inlineStr">
        <is>
          <t>MOD-038</t>
        </is>
      </c>
      <c r="O12" s="5" t="inlineStr">
        <is>
          <t>js/sanctuary/SanctuaryTipiNpcs.js:L47</t>
        </is>
      </c>
      <c r="P12" s="5" t="inlineStr">
        <is>
          <t>Assets/NPC.REG.glb</t>
        </is>
      </c>
      <c r="Q12" s="11" t="n">
        <v>1942136</v>
      </c>
      <c r="R12" s="11">
        <f>IF(Q12="","",Q12*E12)</f>
        <v/>
      </c>
      <c r="S12" s="5" t="n">
        <v>293.9</v>
      </c>
      <c r="T12" s="5" t="inlineStr">
        <is>
          <t>Assets/NPC.REG.lite.mobile.glb</t>
        </is>
      </c>
      <c r="U12" s="11" t="n">
        <v>31096</v>
      </c>
      <c r="V12" s="5" t="n">
        <v>18</v>
      </c>
      <c r="W12" s="5" t="inlineStr"/>
    </row>
    <row r="13">
      <c r="A13" s="5" t="inlineStr">
        <is>
          <t>AST-09</t>
        </is>
      </c>
      <c r="B13" s="5" t="inlineStr">
        <is>
          <t>Assets/Tipi.yellowbutterfly/tipi.yellowbutterfly.lite.glb</t>
        </is>
      </c>
      <c r="C13" s="5" t="inlineStr">
        <is>
          <t>Yes</t>
        </is>
      </c>
      <c r="D13" s="11" t="n">
        <v>40000</v>
      </c>
      <c r="E13" s="5" t="n">
        <v>3</v>
      </c>
      <c r="F13" s="11">
        <f>D13*E13</f>
        <v/>
      </c>
      <c r="G13" s="5" t="n">
        <v>3</v>
      </c>
      <c r="H13" s="5" t="n">
        <v>2048</v>
      </c>
      <c r="I13" s="5" t="n">
        <v>1</v>
      </c>
      <c r="J13" s="5" t="n">
        <v>21.3</v>
      </c>
      <c r="K13" s="5" t="n">
        <v>0.49</v>
      </c>
      <c r="L13" s="5" t="inlineStr"/>
      <c r="M13" s="5" t="n">
        <v>0</v>
      </c>
      <c r="N13" s="5" t="inlineStr">
        <is>
          <t>MOD-039</t>
        </is>
      </c>
      <c r="O13" s="5" t="inlineStr">
        <is>
          <t>js/sanctuary/SanctuaryTipis.js:L260</t>
        </is>
      </c>
      <c r="P13" s="5" t="inlineStr">
        <is>
          <t>Assets/Tipi.yellowbutterfly/tipi.yellowbutterfly.glb</t>
        </is>
      </c>
      <c r="Q13" s="11" t="n">
        <v>245880</v>
      </c>
      <c r="R13" s="11">
        <f>IF(Q13="","",Q13*E13)</f>
        <v/>
      </c>
      <c r="S13" s="5" t="n">
        <v>85.3</v>
      </c>
      <c r="T13" s="5" t="inlineStr">
        <is>
          <t>Assets/Tipi.yellowbutterfly/tipi.yellowbutterfly.lite.mobile.glb</t>
        </is>
      </c>
      <c r="U13" s="11" t="n">
        <v>14998</v>
      </c>
      <c r="V13" s="5" t="n">
        <v>5.3</v>
      </c>
      <c r="W13" s="5" t="inlineStr"/>
    </row>
    <row r="14">
      <c r="A14" s="5" t="inlineStr">
        <is>
          <t>AST-10</t>
        </is>
      </c>
      <c r="B14" s="5" t="inlineStr">
        <is>
          <t>Assets/NPC.YB.glb</t>
        </is>
      </c>
      <c r="C14" s="5" t="inlineStr">
        <is>
          <t>Yes</t>
        </is>
      </c>
      <c r="D14" s="11" t="n">
        <v>37162</v>
      </c>
      <c r="E14" s="5" t="n">
        <v>1</v>
      </c>
      <c r="F14" s="11">
        <f>D14*E14</f>
        <v/>
      </c>
      <c r="G14" s="5" t="n">
        <v>1</v>
      </c>
      <c r="H14" s="5" t="n">
        <v>4096</v>
      </c>
      <c r="I14" s="5" t="n">
        <v>3</v>
      </c>
      <c r="J14" s="5" t="n">
        <v>255.9</v>
      </c>
      <c r="K14" s="5" t="n">
        <v>3.02</v>
      </c>
      <c r="L14" s="5" t="inlineStr">
        <is>
          <t>Yes</t>
        </is>
      </c>
      <c r="M14" s="5" t="n">
        <v>5</v>
      </c>
      <c r="N14" s="5" t="inlineStr">
        <is>
          <t>MOD-038, MOD-082, MOD-102, MOD-103</t>
        </is>
      </c>
      <c r="O14" s="5" t="inlineStr">
        <is>
          <t>js/sanctuary/SanctuaryTipiNpcs.js:L42</t>
        </is>
      </c>
      <c r="P14" s="5" t="inlineStr"/>
      <c r="Q14" s="11" t="n"/>
      <c r="R14" s="11">
        <f>IF(Q14="","",Q14*E14)</f>
        <v/>
      </c>
      <c r="S14" s="5" t="n"/>
      <c r="T14" s="5" t="inlineStr"/>
      <c r="U14" s="11" t="n"/>
      <c r="V14" s="5" t="n"/>
      <c r="W14" s="5" t="inlineStr"/>
    </row>
    <row r="15">
      <c r="A15" s="5" t="inlineStr">
        <is>
          <t>AST-11</t>
        </is>
      </c>
      <c r="B15" s="5" t="inlineStr">
        <is>
          <t>Assets/tree.glb</t>
        </is>
      </c>
      <c r="C15" s="5" t="inlineStr">
        <is>
          <t>Yes</t>
        </is>
      </c>
      <c r="D15" s="11" t="n">
        <v>18918</v>
      </c>
      <c r="E15" s="5" t="n">
        <v>18</v>
      </c>
      <c r="F15" s="11">
        <f>D15*E15</f>
        <v/>
      </c>
      <c r="G15" s="5" t="n">
        <v>18</v>
      </c>
      <c r="H15" s="5" t="n">
        <v>1024</v>
      </c>
      <c r="I15" s="5" t="n">
        <v>5</v>
      </c>
      <c r="J15" s="5" t="n">
        <v>26.7</v>
      </c>
      <c r="K15" s="5" t="n">
        <v>6.74</v>
      </c>
      <c r="L15" s="5" t="inlineStr"/>
      <c r="M15" s="5" t="n">
        <v>0</v>
      </c>
      <c r="N15" s="5" t="inlineStr">
        <is>
          <t>MOD-034, MOD-050, MOD-055, MOD-102, MOD-103</t>
        </is>
      </c>
      <c r="O15" s="5" t="inlineStr">
        <is>
          <t>js/sanctuary/SanctuaryPondTrees.js:L50</t>
        </is>
      </c>
      <c r="P15" s="5" t="inlineStr"/>
      <c r="Q15" s="11" t="n"/>
      <c r="R15" s="11">
        <f>IF(Q15="","",Q15*E15)</f>
        <v/>
      </c>
      <c r="S15" s="5" t="n"/>
      <c r="T15" s="5" t="inlineStr"/>
      <c r="U15" s="11" t="n"/>
      <c r="V15" s="5" t="n"/>
      <c r="W15" s="5" t="inlineStr"/>
    </row>
    <row r="16">
      <c r="A16" s="5" t="inlineStr">
        <is>
          <t>AST-12</t>
        </is>
      </c>
      <c r="B16" s="5" t="inlineStr">
        <is>
          <t>Assets/flora/reeds.glb</t>
        </is>
      </c>
      <c r="C16" s="5" t="inlineStr">
        <is>
          <t>Yes</t>
        </is>
      </c>
      <c r="D16" s="11" t="n">
        <v>9912</v>
      </c>
      <c r="E16" s="5" t="n">
        <v>14</v>
      </c>
      <c r="F16" s="11">
        <f>D16*E16</f>
        <v/>
      </c>
      <c r="G16" s="5" t="n">
        <v>14</v>
      </c>
      <c r="H16" s="5" t="n">
        <v>4096</v>
      </c>
      <c r="I16" s="5" t="n">
        <v>1</v>
      </c>
      <c r="J16" s="5" t="n">
        <v>85.3</v>
      </c>
      <c r="K16" s="5" t="n">
        <v>0.75</v>
      </c>
      <c r="L16" s="5" t="inlineStr"/>
      <c r="M16" s="5" t="n">
        <v>0</v>
      </c>
      <c r="N16" s="5" t="inlineStr">
        <is>
          <t>MOD-034, MOD-102</t>
        </is>
      </c>
      <c r="O16" s="5" t="inlineStr">
        <is>
          <t>js/sanctuary/SanctuaryPondTrees.js:L46</t>
        </is>
      </c>
      <c r="P16" s="5" t="inlineStr"/>
      <c r="Q16" s="11" t="n"/>
      <c r="R16" s="11">
        <f>IF(Q16="","",Q16*E16)</f>
        <v/>
      </c>
      <c r="S16" s="5" t="n"/>
      <c r="T16" s="5" t="inlineStr"/>
      <c r="U16" s="11" t="n"/>
      <c r="V16" s="5" t="n"/>
      <c r="W16" s="5" t="inlineStr">
        <is>
          <t>FND-43</t>
        </is>
      </c>
    </row>
    <row r="17">
      <c r="A17" s="5" t="inlineStr">
        <is>
          <t>AST-13</t>
        </is>
      </c>
      <c r="B17" s="5" t="inlineStr">
        <is>
          <t>Assets/rabbit.animated.glb</t>
        </is>
      </c>
      <c r="C17" s="5" t="inlineStr">
        <is>
          <t>No</t>
        </is>
      </c>
      <c r="D17" s="11" t="n">
        <v>4997</v>
      </c>
      <c r="E17" s="5" t="n">
        <v>0</v>
      </c>
      <c r="F17" s="11">
        <f>D17*E17</f>
        <v/>
      </c>
      <c r="G17" s="5" t="n">
        <v>0</v>
      </c>
      <c r="H17" s="5" t="n">
        <v>512</v>
      </c>
      <c r="I17" s="5" t="n">
        <v>1</v>
      </c>
      <c r="J17" s="5" t="n">
        <v>1.3</v>
      </c>
      <c r="K17" s="5" t="n">
        <v>0.14</v>
      </c>
      <c r="L17" s="5" t="inlineStr">
        <is>
          <t>Yes</t>
        </is>
      </c>
      <c r="M17" s="5" t="n">
        <v>1</v>
      </c>
      <c r="N17" s="5" t="inlineStr">
        <is>
          <t>MOD-054, MOD-102</t>
        </is>
      </c>
      <c r="O17" s="5" t="inlineStr">
        <is>
          <t>No load call found from an Active module (URL constant only).</t>
        </is>
      </c>
      <c r="P17" s="5" t="inlineStr"/>
      <c r="Q17" s="11" t="n"/>
      <c r="R17" s="11">
        <f>IF(Q17="","",Q17*E17)</f>
        <v/>
      </c>
      <c r="S17" s="5" t="n"/>
      <c r="T17" s="5" t="inlineStr"/>
      <c r="U17" s="11" t="n"/>
      <c r="V17" s="5" t="n"/>
      <c r="W17" s="5" t="inlineStr"/>
    </row>
    <row r="18">
      <c r="A18" s="5" t="inlineStr">
        <is>
          <t>AST-14</t>
        </is>
      </c>
      <c r="B18" s="5" t="inlineStr">
        <is>
          <t>Assets/axe.glb</t>
        </is>
      </c>
      <c r="C18" s="5" t="inlineStr">
        <is>
          <t>No</t>
        </is>
      </c>
      <c r="D18" s="11" t="n">
        <v>4958</v>
      </c>
      <c r="E18" s="5" t="n">
        <v>0</v>
      </c>
      <c r="F18" s="11">
        <f>D18*E18</f>
        <v/>
      </c>
      <c r="G18" s="5" t="n">
        <v>0</v>
      </c>
      <c r="H18" s="5" t="n">
        <v>512</v>
      </c>
      <c r="I18" s="5" t="n">
        <v>1</v>
      </c>
      <c r="J18" s="5" t="n">
        <v>1.3</v>
      </c>
      <c r="K18" s="5" t="n">
        <v>0.07000000000000001</v>
      </c>
      <c r="L18" s="5" t="inlineStr"/>
      <c r="M18" s="5" t="n">
        <v>0</v>
      </c>
      <c r="N18" s="5" t="inlineStr">
        <is>
          <t>MOD-082</t>
        </is>
      </c>
      <c r="O18" s="5" t="inlineStr">
        <is>
          <t>No load call found from an Active module (URL constant only).</t>
        </is>
      </c>
      <c r="P18" s="5" t="inlineStr"/>
      <c r="Q18" s="11" t="n"/>
      <c r="R18" s="11">
        <f>IF(Q18="","",Q18*E18)</f>
        <v/>
      </c>
      <c r="S18" s="5" t="n"/>
      <c r="T18" s="5" t="inlineStr"/>
      <c r="U18" s="11" t="n"/>
      <c r="V18" s="5" t="n"/>
      <c r="W18" s="5" t="inlineStr"/>
    </row>
    <row r="19">
      <c r="A19" s="5" t="inlineStr">
        <is>
          <t>AST-15</t>
        </is>
      </c>
      <c r="B19" s="5" t="inlineStr">
        <is>
          <t>Assets/bush.glb</t>
        </is>
      </c>
      <c r="C19" s="5" t="inlineStr">
        <is>
          <t>Yes</t>
        </is>
      </c>
      <c r="D19" s="11" t="n">
        <v>2552</v>
      </c>
      <c r="E19" s="5" t="n">
        <v>24</v>
      </c>
      <c r="F19" s="11">
        <f>D19*E19</f>
        <v/>
      </c>
      <c r="G19" s="5" t="n">
        <v>24</v>
      </c>
      <c r="H19" s="5" t="n">
        <v>1024</v>
      </c>
      <c r="I19" s="5" t="n">
        <v>1</v>
      </c>
      <c r="J19" s="5" t="n">
        <v>5.3</v>
      </c>
      <c r="K19" s="5" t="n">
        <v>0.87</v>
      </c>
      <c r="L19" s="5" t="inlineStr"/>
      <c r="M19" s="5" t="n">
        <v>0</v>
      </c>
      <c r="N19" s="5" t="inlineStr">
        <is>
          <t>MOD-034, MOD-102</t>
        </is>
      </c>
      <c r="O19" s="5" t="inlineStr">
        <is>
          <t>js/sanctuary/SanctuaryPondTrees.js:L51</t>
        </is>
      </c>
      <c r="P19" s="5" t="inlineStr"/>
      <c r="Q19" s="11" t="n"/>
      <c r="R19" s="11">
        <f>IF(Q19="","",Q19*E19)</f>
        <v/>
      </c>
      <c r="S19" s="5" t="n"/>
      <c r="T19" s="5" t="inlineStr"/>
      <c r="U19" s="11" t="n"/>
      <c r="V19" s="5" t="n"/>
      <c r="W19" s="5" t="inlineStr"/>
    </row>
    <row r="20">
      <c r="A20" s="5" t="inlineStr">
        <is>
          <t>AST-16</t>
        </is>
      </c>
      <c r="B20" s="5" t="inlineStr">
        <is>
          <t>Assets/Fish/fish.obj</t>
        </is>
      </c>
      <c r="C20" s="5" t="inlineStr">
        <is>
          <t>Yes</t>
        </is>
      </c>
      <c r="D20" s="11" t="n">
        <v>23466</v>
      </c>
      <c r="E20" s="5" t="n">
        <v>18</v>
      </c>
      <c r="F20" s="11">
        <f>D20*E20</f>
        <v/>
      </c>
      <c r="G20" s="5" t="n">
        <v>18</v>
      </c>
      <c r="H20" s="5" t="n"/>
      <c r="I20" s="5" t="n">
        <v>0</v>
      </c>
      <c r="J20" s="5" t="n">
        <v>0</v>
      </c>
      <c r="K20" s="5" t="n">
        <v>1.06</v>
      </c>
      <c r="L20" s="5" t="inlineStr"/>
      <c r="M20" s="5" t="n">
        <v>0</v>
      </c>
      <c r="N20" s="5" t="inlineStr">
        <is>
          <t>MOD-021</t>
        </is>
      </c>
      <c r="O20" s="5" t="inlineStr">
        <is>
          <t>js/sanctuary/SanctuaryFish.js:L24</t>
        </is>
      </c>
      <c r="P20" s="5" t="inlineStr"/>
      <c r="Q20" s="11" t="n"/>
      <c r="R20" s="11">
        <f>IF(Q20="","",Q20*E20)</f>
        <v/>
      </c>
      <c r="S20" s="5" t="n"/>
      <c r="T20" s="5" t="inlineStr"/>
      <c r="U20" s="11" t="n"/>
      <c r="V20" s="5" t="n"/>
      <c r="W20" s="5" t="inlineStr">
        <is>
          <t>FND-15</t>
        </is>
      </c>
    </row>
    <row r="22">
      <c r="B22" s="7" t="inlineStr">
        <is>
          <t>Boot totals (desktop, default map; procedural geometry excluded)</t>
        </is>
      </c>
      <c r="F22" s="17">
        <f>SUM(F5:F20)</f>
        <v/>
      </c>
      <c r="J22" s="18">
        <f>SUMPRODUCT((C5:C20="Yes")*J5:J20)</f>
        <v/>
      </c>
    </row>
    <row r="23">
      <c r="B23" s="7" t="inlineStr">
        <is>
          <t>Boot triangles BEFORE PLN-01 + PLN-02 (original REG + tipi)</t>
        </is>
      </c>
      <c r="F23" s="17">
        <f>F22-SUMPRODUCT((Q5:Q20&lt;&gt;"")*(F5:F20))+SUM(R5:R20)</f>
        <v/>
      </c>
      <c r="J23" s="7" t="n"/>
    </row>
    <row r="24">
      <c r="B24" s="7" t="inlineStr">
        <is>
          <t>Texture VRAM BEFORE PLN-01 + PLN-02 (MB)</t>
        </is>
      </c>
      <c r="F24" s="7" t="n"/>
      <c r="J24" s="18">
        <f>J22-SUMPRODUCT((S5:S20&lt;&gt;"")*(C5:C20="Yes")*J5:J20)+SUMPRODUCT((C5:C20="Yes")*(S5:S20&lt;&gt;"")*N(+S5:S20))</f>
        <v/>
      </c>
    </row>
  </sheetData>
  <autoFilter ref="A4:W20"/>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F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44" customWidth="1" min="3" max="3"/>
    <col width="56" customWidth="1" min="4" max="4"/>
    <col width="14" customWidth="1" min="5" max="5"/>
    <col width="44" customWidth="1" min="6" max="6"/>
  </cols>
  <sheetData>
    <row r="1">
      <c r="A1" s="9" t="inlineStr">
        <is>
          <t>Claims vs verified</t>
        </is>
      </c>
    </row>
    <row r="2">
      <c r="A2" s="10" t="inlineStr">
        <is>
          <t>Zero-trust ledger — Stale/Contradicted rows must not be relied on</t>
        </is>
      </c>
    </row>
    <row r="4" ht="30" customHeight="1">
      <c r="A4" s="12" t="inlineStr">
        <is>
          <t>Claim ID</t>
        </is>
      </c>
      <c r="B4" s="12" t="inlineStr">
        <is>
          <t>Source</t>
        </is>
      </c>
      <c r="C4" s="12" t="inlineStr">
        <is>
          <t>Claim (assumed)</t>
        </is>
      </c>
      <c r="D4" s="12" t="inlineStr">
        <is>
          <t>Mechanical verification</t>
        </is>
      </c>
      <c r="E4" s="12" t="inlineStr">
        <is>
          <t>Verdict</t>
        </is>
      </c>
      <c r="F4" s="12" t="inlineStr">
        <is>
          <t>Evidence</t>
        </is>
      </c>
    </row>
    <row r="5">
      <c r="A5" s="5" t="inlineStr">
        <is>
          <t>CLM-01</t>
        </is>
      </c>
      <c r="B5" s="5" t="inlineStr">
        <is>
          <t>README.md</t>
        </is>
      </c>
      <c r="C5" s="5" t="inlineStr">
        <is>
          <t>index.v2.html is the only HTML you should boot; js/v2 is canonical.</t>
        </is>
      </c>
      <c r="D5" s="5" t="inlineStr">
        <is>
          <t>Live game = index.html with 43 modules (36 from js/sanctuary). index.v2.html is the older v2 build linked from launch.html.</t>
        </is>
      </c>
      <c r="E5" s="5" t="inlineStr">
        <is>
          <t>Stale</t>
        </is>
      </c>
      <c r="F5" s="5" t="inlineStr">
        <is>
          <t>README.md:L47</t>
        </is>
      </c>
    </row>
    <row r="6">
      <c r="A6" s="5" t="inlineStr">
        <is>
          <t>CLM-02</t>
        </is>
      </c>
      <c r="B6" s="5" t="inlineStr">
        <is>
          <t>README.md</t>
        </is>
      </c>
      <c r="C6" s="5" t="inlineStr">
        <is>
          <t>npm test runs check:v2, check:assets, test:v2 smoke, test:fidelity.</t>
        </is>
      </c>
      <c r="D6" s="5" t="inlineStr">
        <is>
          <t>package.json test = check:v2 &amp;&amp; check:assets &amp;&amp; test:v4. No test:v2 or test:fidelity script exists.</t>
        </is>
      </c>
      <c r="E6" s="5" t="inlineStr">
        <is>
          <t>Stale</t>
        </is>
      </c>
      <c r="F6" s="5" t="inlineStr">
        <is>
          <t>package.json:L9</t>
        </is>
      </c>
    </row>
    <row r="7">
      <c r="A7" s="5" t="inlineStr">
        <is>
          <t>CLM-03</t>
        </is>
      </c>
      <c r="B7" s="5" t="inlineStr">
        <is>
          <t>PROGRESS.md</t>
        </is>
      </c>
      <c r="C7" s="5" t="inlineStr">
        <is>
          <t>Service Worker v9 caches all shell files.</t>
        </is>
      </c>
      <c r="D7" s="5" t="inlineStr">
        <is>
          <t>sw.js is a self-destruct kill switch; nothing is cached.</t>
        </is>
      </c>
      <c r="E7" s="5" t="inlineStr">
        <is>
          <t>Stale</t>
        </is>
      </c>
      <c r="F7" s="5" t="inlineStr">
        <is>
          <t>PROGRESS.md:L21</t>
        </is>
      </c>
    </row>
    <row r="8">
      <c r="A8" s="5" t="inlineStr">
        <is>
          <t>CLM-04</t>
        </is>
      </c>
      <c r="B8" s="5" t="inlineStr">
        <is>
          <t>SanctuaryAvatar.js header</t>
        </is>
      </c>
      <c r="C8" s="5" t="inlineStr">
        <is>
          <t>Loads Assets/Avatar3.glb (decimated to ~205k).</t>
        </is>
      </c>
      <c r="D8" s="5" t="inlineStr">
        <is>
          <t>Default URL is Assets/npc/Avatar-New.glb (245,991 tris). Avatar3.glb (1,956,236 tris) loads only with ?avatar=old.</t>
        </is>
      </c>
      <c r="E8" s="5" t="inlineStr">
        <is>
          <t>Stale</t>
        </is>
      </c>
      <c r="F8" s="5" t="inlineStr">
        <is>
          <t>js/sanctuary/SanctuaryAvatar.js:L49</t>
        </is>
      </c>
    </row>
    <row r="9">
      <c r="A9" s="5" t="inlineStr">
        <is>
          <t>CLM-05</t>
        </is>
      </c>
      <c r="B9" s="5" t="inlineStr">
        <is>
          <t>RenderingGovernor.js header</t>
        </is>
      </c>
      <c r="C9" s="5" t="inlineStr">
        <is>
          <t>Single source of truth for multi-pass WebGL / PiP cadence.</t>
        </is>
      </c>
      <c r="D9" s="5" t="inlineStr">
        <is>
          <t>Three controllers change PiP stride; Village View bypasses the stride entirely.</t>
        </is>
      </c>
      <c r="E9" s="5" t="inlineStr">
        <is>
          <t>Contradicted</t>
        </is>
      </c>
      <c r="F9" s="5" t="inlineStr">
        <is>
          <t>js/v2/Orchestrator.js:L1406</t>
        </is>
      </c>
    </row>
    <row r="10">
      <c r="A10" s="5" t="inlineStr">
        <is>
          <t>CLM-06</t>
        </is>
      </c>
      <c r="B10" s="5" t="inlineStr">
        <is>
          <t>FrameBudget.js header</t>
        </is>
      </c>
      <c r="C10" s="5" t="inlineStr">
        <is>
          <t>Wall-clock frame duration sampling.</t>
        </is>
      </c>
      <c r="D10" s="5" t="inlineStr">
        <is>
          <t>Receives JS time from loop start to after render submission; excludes GPU and idle time.</t>
        </is>
      </c>
      <c r="E10" s="5" t="inlineStr">
        <is>
          <t>Contradicted</t>
        </is>
      </c>
      <c r="F10" s="5" t="inlineStr">
        <is>
          <t>js/v2/Orchestrator.js:L797</t>
        </is>
      </c>
    </row>
    <row r="11">
      <c r="A11" s="5" t="inlineStr">
        <is>
          <t>CLM-07</t>
        </is>
      </c>
      <c r="B11" s="5" t="inlineStr">
        <is>
          <t>docs/SCORECARD.md dim 3</t>
        </is>
      </c>
      <c r="C11" s="5" t="inlineStr">
        <is>
          <t>No silent globals.</t>
        </is>
      </c>
      <c r="D11" s="5" t="inlineStr">
        <is>
          <t>Live modules write many window.* globals (see 41_Globals).</t>
        </is>
      </c>
      <c r="E11" s="5" t="inlineStr">
        <is>
          <t>Contradicted</t>
        </is>
      </c>
      <c r="F11" s="5" t="inlineStr">
        <is>
          <t>docs/SCORECARD.md:L32</t>
        </is>
      </c>
    </row>
    <row r="12">
      <c r="A12" s="5" t="inlineStr">
        <is>
          <t>CLM-08</t>
        </is>
      </c>
      <c r="B12" s="5" t="inlineStr">
        <is>
          <t>Orchestrator.js header</t>
        </is>
      </c>
      <c r="C12" s="5" t="inlineStr">
        <is>
          <t>Benchmark FPS cost of every module in isolation.</t>
        </is>
      </c>
      <c r="D12" s="5" t="inlineStr">
        <is>
          <t>Benches run after all modules are active; values are not isolated.</t>
        </is>
      </c>
      <c r="E12" s="5" t="inlineStr">
        <is>
          <t>Contradicted</t>
        </is>
      </c>
      <c r="F12" s="5" t="inlineStr">
        <is>
          <t>js/v2/Orchestrator.js:L8</t>
        </is>
      </c>
    </row>
    <row r="13">
      <c r="A13" s="5" t="inlineStr">
        <is>
          <t>CLM-09</t>
        </is>
      </c>
      <c r="B13" s="5" t="inlineStr">
        <is>
          <t>scripts/decimate-mobile-assets.mjs</t>
        </is>
      </c>
      <c r="C13" s="5" t="inlineStr">
        <is>
          <t>Mobile variants cover the tipi.</t>
        </is>
      </c>
      <c r="D13" s="5" t="inlineStr">
        <is>
          <t>Covers tipi.yellowbutterfly-compressed.glb; live code loads tipi.yellowbutterfly.glb, so no mobile swap happens.</t>
        </is>
      </c>
      <c r="E13" s="5" t="inlineStr">
        <is>
          <t>Contradicted</t>
        </is>
      </c>
      <c r="F13" s="5" t="inlineStr">
        <is>
          <t>js/sanctuary/SanctuaryTipis.js:L28</t>
        </is>
      </c>
    </row>
    <row r="14">
      <c r="A14" s="5" t="inlineStr">
        <is>
          <t>CLM-10</t>
        </is>
      </c>
      <c r="B14" s="5" t="inlineStr">
        <is>
          <t>SanctuaryTipiNpcs.js (before PLN-01)</t>
        </is>
      </c>
      <c r="C14" s="5" t="inlineStr">
        <is>
          <t>REG is ~1.9M triangles and is skipped on mobile.</t>
        </is>
      </c>
      <c r="D14" s="5" t="inlineStr">
        <is>
          <t>Measured 1,942,136 tris. Superseded: lite model now loads on every device.</t>
        </is>
      </c>
      <c r="E14" s="5" t="inlineStr">
        <is>
          <t>Verified, then changed</t>
        </is>
      </c>
      <c r="F14" s="5" t="inlineStr">
        <is>
          <t>js/sanctuary/SanctuaryTipiNpcs.js:L255</t>
        </is>
      </c>
    </row>
    <row r="15">
      <c r="A15" s="5" t="inlineStr">
        <is>
          <t>CLM-11</t>
        </is>
      </c>
      <c r="B15" s="5" t="inlineStr">
        <is>
          <t>Orchestrator.js constructor</t>
        </is>
      </c>
      <c r="C15" s="5" t="inlineStr">
        <is>
          <t>Mobile: shadows off, DPR 1.0, texture cap 256 px.</t>
        </is>
      </c>
      <c r="D15" s="5" t="inlineStr">
        <is>
          <t>Present in code (not runtime-tested here).</t>
        </is>
      </c>
      <c r="E15" s="5" t="inlineStr">
        <is>
          <t>Verified (static)</t>
        </is>
      </c>
      <c r="F15" s="5" t="inlineStr">
        <is>
          <t>js/v2/Orchestrator.js:L140</t>
        </is>
      </c>
    </row>
    <row r="16">
      <c r="A16" s="5" t="inlineStr">
        <is>
          <t>CLM-12</t>
        </is>
      </c>
      <c r="B16" s="5" t="inlineStr">
        <is>
          <t>docs/legacy-reconciliation.md</t>
        </is>
      </c>
      <c r="C16" s="5" t="inlineStr">
        <is>
          <t>WORDPRESS/, dist/, _legacy_archive/, SacredOnes.1/ trees exist and are frozen.</t>
        </is>
      </c>
      <c r="D16" s="5" t="inlineStr">
        <is>
          <t>None of those directories are in the repository.</t>
        </is>
      </c>
      <c r="E16" s="5" t="inlineStr">
        <is>
          <t>Stale</t>
        </is>
      </c>
      <c r="F16" s="5" t="inlineStr">
        <is>
          <t>docs/legacy-reconciliation.md:L21</t>
        </is>
      </c>
    </row>
    <row r="17">
      <c r="A17" s="5" t="inlineStr">
        <is>
          <t>CLM-13</t>
        </is>
      </c>
      <c r="B17" s="5" t="inlineStr">
        <is>
          <t>Manifesto / index.html meta</t>
        </is>
      </c>
      <c r="C17" s="5" t="inlineStr">
        <is>
          <t>WCAG 2.2 AAA compliance.</t>
        </is>
      </c>
      <c r="D17" s="5" t="inlineStr">
        <is>
          <t>Not verified — no audit run in this session.</t>
        </is>
      </c>
      <c r="E17" s="5" t="inlineStr">
        <is>
          <t>Unverified</t>
        </is>
      </c>
      <c r="F17" s="5" t="inlineStr">
        <is>
          <t>SACRED_ADVENTURES_MANIFESTO.md:L16</t>
        </is>
      </c>
    </row>
    <row r="18">
      <c r="A18" s="5" t="inlineStr">
        <is>
          <t>CLM-14</t>
        </is>
      </c>
      <c r="B18" s="5" t="inlineStr">
        <is>
          <t>Orchestrator FISHING_SUSPEND comment</t>
        </is>
      </c>
      <c r="C18" s="5" t="inlineStr">
        <is>
          <t>Skipping non-pond modules saves 3–6 ms/frame.</t>
        </is>
      </c>
      <c r="D18" s="5" t="inlineStr">
        <is>
          <t>Not measured (no browser runtime here).</t>
        </is>
      </c>
      <c r="E18" s="5" t="inlineStr">
        <is>
          <t>Unverified</t>
        </is>
      </c>
      <c r="F18" s="5" t="inlineStr">
        <is>
          <t>js/v2/Orchestrator.js:L704</t>
        </is>
      </c>
    </row>
    <row r="19">
      <c r="A19" s="5" t="inlineStr">
        <is>
          <t>CLM-16</t>
        </is>
      </c>
      <c r="B19" s="5" t="inlineStr">
        <is>
          <t>Coder 1 report</t>
        </is>
      </c>
      <c r="C19" s="5" t="inlineStr">
        <is>
          <t>Nothing in the repo listens for PIP_FRAME.</t>
        </is>
      </c>
      <c r="D19" s="5" t="inlineStr">
        <is>
          <t>limbo.py over all live frames: 0 receivers. Panel handler lists 10 other types.</t>
        </is>
      </c>
      <c r="E19" s="5" t="inlineStr">
        <is>
          <t>Verified</t>
        </is>
      </c>
      <c r="F19" s="5" t="inlineStr">
        <is>
          <t>js/v2/Orchestrator.js:L1443</t>
        </is>
      </c>
    </row>
    <row r="20">
      <c r="A20" s="5" t="inlineStr">
        <is>
          <t>CLM-17</t>
        </is>
      </c>
      <c r="B20" s="5" t="inlineStr">
        <is>
          <t>Coder 1 report</t>
        </is>
      </c>
      <c r="C20" s="5" t="inlineStr">
        <is>
          <t>The fishing PiP scan hides nothing that would be drawn.</t>
        </is>
      </c>
      <c r="D20" s="5" t="inlineStr">
        <is>
          <t>Close-up camera is layer 2 only; every layer-2 object checked against the hide rules.</t>
        </is>
      </c>
      <c r="E20" s="5" t="inlineStr">
        <is>
          <t>Verified</t>
        </is>
      </c>
      <c r="F20" s="5" t="inlineStr">
        <is>
          <t>js/v2/Orchestrator.js:L1592</t>
        </is>
      </c>
    </row>
    <row r="21">
      <c r="A21" s="5" t="inlineStr">
        <is>
          <t>CLM-18</t>
        </is>
      </c>
      <c r="B21" s="5" t="inlineStr">
        <is>
          <t>Coder 1 report</t>
        </is>
      </c>
      <c r="C21" s="5" t="inlineStr">
        <is>
          <t>The frame timer stops right after render() is issued.</t>
        </is>
      </c>
      <c r="D21" s="5" t="inlineStr">
        <is>
          <t>frameMs measured after render submission; GPU time excluded.</t>
        </is>
      </c>
      <c r="E21" s="5" t="inlineStr">
        <is>
          <t>Verified</t>
        </is>
      </c>
      <c r="F21" s="5" t="inlineStr">
        <is>
          <t>js/v2/Orchestrator.js:L797</t>
        </is>
      </c>
    </row>
    <row r="22">
      <c r="A22" s="5" t="inlineStr">
        <is>
          <t>CLM-19</t>
        </is>
      </c>
      <c r="B22" s="5" t="inlineStr">
        <is>
          <t>Coder 1 report</t>
        </is>
      </c>
      <c r="C22" s="5" t="inlineStr">
        <is>
          <t>Two shared time uniforms already exist.</t>
        </is>
      </c>
      <c r="D22" s="5" t="inlineStr">
        <is>
          <t>window._globalTime and window.__sanctuaryFloraTimeUniform are stashed separately.</t>
        </is>
      </c>
      <c r="E22" s="5" t="inlineStr">
        <is>
          <t>Verified</t>
        </is>
      </c>
      <c r="F22" s="5" t="inlineStr">
        <is>
          <t>js/v2/Orchestrator.js:L1486</t>
        </is>
      </c>
    </row>
    <row r="23">
      <c r="A23" s="5" t="inlineStr">
        <is>
          <t>CLM-20</t>
        </is>
      </c>
      <c r="B23" s="5" t="inlineStr">
        <is>
          <t>Coder 1 report</t>
        </is>
      </c>
      <c r="C23" s="5" t="inlineStr">
        <is>
          <t>Protect-rule selector is out of date.</t>
        </is>
      </c>
      <c r="D23" s="5" t="inlineStr">
        <is>
          <t>Rule: #pipCanvas in #moondial-wrapper; live: #v2-pip-canvas in #pip-compass-wrapper.</t>
        </is>
      </c>
      <c r="E23" s="5" t="inlineStr">
        <is>
          <t>Verified</t>
        </is>
      </c>
      <c r="F23" s="5" t="inlineStr">
        <is>
          <t>.cursor/rules/sacred-pip-map-protect.mdc:L10</t>
        </is>
      </c>
    </row>
    <row r="24">
      <c r="A24" s="5" t="inlineStr">
        <is>
          <t>CLM-21</t>
        </is>
      </c>
      <c r="B24" s="5" t="inlineStr">
        <is>
          <t>index.html comment</t>
        </is>
      </c>
      <c r="C24" s="5" t="inlineStr">
        <is>
          <t>This page relays PROCESS_INPUT / RETURN_TO_GAME.</t>
        </is>
      </c>
      <c r="D24" s="5" t="inlineStr">
        <is>
          <t>No handler for PROCESS_INPUT in index.html; only the comment mentions it.</t>
        </is>
      </c>
      <c r="E24" s="5" t="inlineStr">
        <is>
          <t>Contradicted</t>
        </is>
      </c>
      <c r="F24" s="5" t="inlineStr">
        <is>
          <t>index.html:L179</t>
        </is>
      </c>
    </row>
    <row r="25">
      <c r="A25" s="5" t="inlineStr">
        <is>
          <t>CLM-22</t>
        </is>
      </c>
      <c r="B25" s="5" t="inlineStr">
        <is>
          <t>SanctuaryFish / SanctuaryPool comments</t>
        </is>
      </c>
      <c r="C25" s="5" t="inlineStr">
        <is>
          <t>Gauge removed from layer 2.</t>
        </is>
      </c>
      <c r="D25" s="5" t="inlineStr">
        <is>
          <t>_build3DGauge enables layer 2 on every child.</t>
        </is>
      </c>
      <c r="E25" s="5" t="inlineStr">
        <is>
          <t>Contradicted</t>
        </is>
      </c>
      <c r="F25" s="5" t="inlineStr">
        <is>
          <t>js/sanctuary/SanctuaryFishing.js:L434</t>
        </is>
      </c>
    </row>
    <row r="26">
      <c r="A26" s="5" t="inlineStr">
        <is>
          <t>CLM-23</t>
        </is>
      </c>
      <c r="B26" s="5" t="inlineStr">
        <is>
          <t>gltfLoaderSetup.js comment (before edit)</t>
        </is>
      </c>
      <c r="C26" s="5" t="inlineStr">
        <is>
          <t>Avatar-New is already low-poly.</t>
        </is>
      </c>
      <c r="D26" s="5" t="inlineStr">
        <is>
          <t>245,991 tris, 2×4096² maps.</t>
        </is>
      </c>
      <c r="E26" s="5" t="inlineStr">
        <is>
          <t>Contradicted</t>
        </is>
      </c>
      <c r="F26" s="5" t="inlineStr">
        <is>
          <t>js/sanctuary/SanctuaryAvatar.js:L49</t>
        </is>
      </c>
    </row>
    <row r="27">
      <c r="A27" s="5" t="inlineStr">
        <is>
          <t>CLM-15</t>
        </is>
      </c>
      <c r="B27" s="5" t="inlineStr">
        <is>
          <t>Project description</t>
        </is>
      </c>
      <c r="C27" s="5" t="inlineStr">
        <is>
          <t>Village builder + hunting + fishing + crafting simulator.</t>
        </is>
      </c>
      <c r="D27" s="5" t="inlineStr">
        <is>
          <t>Fishing and village shaping exist; hunting and crafting have no code in the live build.</t>
        </is>
      </c>
      <c r="E27" s="5" t="inlineStr">
        <is>
          <t>Partly true</t>
        </is>
      </c>
      <c r="F27" s="5" t="inlineStr">
        <is>
          <t>js/sanctuary/SanctuaryInventory.js:L12</t>
        </is>
      </c>
    </row>
  </sheetData>
  <autoFilter ref="A4:F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34" customWidth="1" min="3" max="3"/>
    <col width="16" customWidth="1" min="4" max="4"/>
    <col width="60" customWidth="1" min="5" max="5"/>
    <col width="52" customWidth="1" min="6" max="6"/>
    <col width="13" customWidth="1" min="7" max="7"/>
    <col width="44" customWidth="1" min="8" max="8"/>
  </cols>
  <sheetData>
    <row r="1">
      <c r="A1" s="9" t="inlineStr">
        <is>
          <t>Plan</t>
        </is>
      </c>
    </row>
    <row r="2">
      <c r="A2" s="10" t="inlineStr">
        <is>
          <t>Status is a dropdown — update it as work lands</t>
        </is>
      </c>
    </row>
    <row r="4" ht="30" customHeight="1">
      <c r="A4" s="12" t="inlineStr">
        <is>
          <t>Plan ID</t>
        </is>
      </c>
      <c r="B4" s="12" t="inlineStr">
        <is>
          <t>Order</t>
        </is>
      </c>
      <c r="C4" s="12" t="inlineStr">
        <is>
          <t>Step</t>
        </is>
      </c>
      <c r="D4" s="12" t="inlineStr">
        <is>
          <t>Findings</t>
        </is>
      </c>
      <c r="E4" s="12" t="inlineStr">
        <is>
          <t>Files to change</t>
        </is>
      </c>
      <c r="F4" s="12" t="inlineStr">
        <is>
          <t>Acceptance test</t>
        </is>
      </c>
      <c r="G4" s="12" t="inlineStr">
        <is>
          <t>Status</t>
        </is>
      </c>
      <c r="H4" s="12" t="inlineStr">
        <is>
          <t>Notes</t>
        </is>
      </c>
    </row>
    <row r="5">
      <c r="A5" s="5" t="inlineStr">
        <is>
          <t>PLN-01</t>
        </is>
      </c>
      <c r="B5" s="5" t="n">
        <v>1</v>
      </c>
      <c r="C5" s="5" t="inlineStr">
        <is>
          <t>Swap REG to the lite/mobile models</t>
        </is>
      </c>
      <c r="D5" s="5" t="inlineStr">
        <is>
          <t>FND-01</t>
        </is>
      </c>
      <c r="E5" s="5" t="inlineStr">
        <is>
          <t>js/sanctuary/SanctuaryTipiNpcs.js (REG_URL, mobile skip); js/v2/gltfLoaderSetup.js (MOBILE_GLB_VARIANTS); Assets/NPC.REG.lite.glb + .mobile.glb</t>
        </is>
      </c>
      <c r="F5" s="5" t="inlineStr">
        <is>
          <t>renderer.info.render.triangles drops by ≥1.8M on desktop; REG sits and animates (6 clips); REG appears on mobile.</t>
        </is>
      </c>
      <c r="G5" s="5" t="inlineStr">
        <is>
          <t>Done (code) — verify in browser</t>
        </is>
      </c>
      <c r="H5" s="5" t="inlineStr">
        <is>
          <t>Approved by user ('lets use those'). REG_URL → lite; mobile skip removed; loader swap set updated; mobile URL rewrite traced.</t>
        </is>
      </c>
    </row>
    <row r="6">
      <c r="A6" s="5" t="inlineStr">
        <is>
          <t>PLN-02</t>
        </is>
      </c>
      <c r="B6" s="5" t="n">
        <v>2</v>
      </c>
      <c r="C6" s="5" t="inlineStr">
        <is>
          <t>Swap tipis to the lite/mobile models</t>
        </is>
      </c>
      <c r="D6" s="5" t="inlineStr">
        <is>
          <t>FND-02</t>
        </is>
      </c>
      <c r="E6" s="5" t="inlineStr">
        <is>
          <t>js/sanctuary/SanctuaryTipis.js (TIPI_GLB_URL); js/v2/gltfLoaderSetup.js (MOBILE_GLB_VARIANTS); Assets/Tipi.yellowbutterfly/*.lite/.mobile.glb</t>
        </is>
      </c>
      <c r="F6" s="5" t="inlineStr">
        <is>
          <t>Triangles drop by ~618k; tipi scale/placement unchanged (target height logic reads bbox).</t>
        </is>
      </c>
      <c r="G6" s="5" t="inlineStr">
        <is>
          <t>Done (code) — verify in browser</t>
        </is>
      </c>
      <c r="H6" s="5" t="inlineStr">
        <is>
          <t>TIPI_GLB_URL → lite; mobile swap traced to an existing file. Tipis 1–3 strip the texture by design.</t>
        </is>
      </c>
    </row>
    <row r="7">
      <c r="A7" s="5" t="inlineStr">
        <is>
          <t>PLN-03</t>
        </is>
      </c>
      <c r="B7" s="5" t="n">
        <v>3</v>
      </c>
      <c r="C7" s="5" t="inlineStr">
        <is>
          <t>Texture downsize pass</t>
        </is>
      </c>
      <c r="D7" s="5" t="inlineStr">
        <is>
          <t>FND-03</t>
        </is>
      </c>
      <c r="E7" s="5" t="inlineStr">
        <is>
          <t>Assets: NPC.YB.glb, npc/Avatar-New.glb, flora/reeds.glb, pond-side rocks; scripts/ (reuse lite.mjs)</t>
        </is>
      </c>
      <c r="F7" s="5" t="inlineStr">
        <is>
          <t>Boot texture VRAM &lt; 250 MB desktop (measured with glbjson.mjs).</t>
        </is>
      </c>
      <c r="G7" s="5" t="inlineStr">
        <is>
          <t>Not started</t>
        </is>
      </c>
      <c r="H7" s="5" t="inlineStr"/>
    </row>
    <row r="8">
      <c r="A8" s="5" t="inlineStr">
        <is>
          <t>PLN-04</t>
        </is>
      </c>
      <c r="B8" s="5" t="n">
        <v>4</v>
      </c>
      <c r="C8" s="5" t="inlineStr">
        <is>
          <t>Decimate + instance the trout</t>
        </is>
      </c>
      <c r="D8" s="5" t="inlineStr">
        <is>
          <t>FND-15</t>
        </is>
      </c>
      <c r="E8" s="5" t="inlineStr">
        <is>
          <t>Assets/Fish/fish.obj (new low-poly); js/sanctuary/SanctuaryFish.js</t>
        </is>
      </c>
      <c r="F8" s="5" t="inlineStr">
        <is>
          <t>Fish triangles &lt; 40k total; one draw call for 18 trout.</t>
        </is>
      </c>
      <c r="G8" s="5" t="inlineStr">
        <is>
          <t>Not started</t>
        </is>
      </c>
      <c r="H8" s="5" t="inlineStr"/>
    </row>
    <row r="9">
      <c r="A9" s="5" t="inlineStr">
        <is>
          <t>PLN-05</t>
        </is>
      </c>
      <c r="B9" s="5" t="n">
        <v>5</v>
      </c>
      <c r="C9" s="5" t="inlineStr">
        <is>
          <t>PiP on one WebGL context</t>
        </is>
      </c>
      <c r="D9" s="5" t="inlineStr">
        <is>
          <t>FND-04</t>
        </is>
      </c>
      <c r="E9" s="5" t="inlineStr">
        <is>
          <t>js/v2/Orchestrator.js (_ensurePipPipeline, _renderWithMask, _renderPip); index.html PiP DOM</t>
        </is>
      </c>
      <c r="F9" s="5" t="inlineStr">
        <is>
          <t>One WebGL context in chrome://gpu / document canvases; minimap identical; PiP invariant rule respected.</t>
        </is>
      </c>
      <c r="G9" s="5" t="inlineStr">
        <is>
          <t>Awaiting approval</t>
        </is>
      </c>
      <c r="H9" s="5" t="inlineStr">
        <is>
          <t>Touches the protected PiP — needs explicit user approval (sacred-pip-map-protect).</t>
        </is>
      </c>
    </row>
    <row r="10">
      <c r="A10" s="5" t="inlineStr">
        <is>
          <t>PLN-06</t>
        </is>
      </c>
      <c r="B10" s="5" t="n">
        <v>6</v>
      </c>
      <c r="C10" s="5" t="inlineStr">
        <is>
          <t>PiP quick wins</t>
        </is>
      </c>
      <c r="D10" s="5" t="inlineStr">
        <is>
          <t>FND-05, FND-06</t>
        </is>
      </c>
      <c r="E10" s="5" t="inlineStr">
        <is>
          <t>js/v2/Orchestrator.js (_renderPip stride gate, _preparePipScene, _stashAnuCullablesForPipRender, renderer options)</t>
        </is>
      </c>
      <c r="F10" s="5" t="inlineStr">
        <is>
          <t>PiP renders ≤ every 4th frame in Village View; no per-pass traverse; no AmbientLight allocation.</t>
        </is>
      </c>
      <c r="G10" s="5" t="inlineStr">
        <is>
          <t>In progress</t>
        </is>
      </c>
      <c r="H10" s="5" t="inlineStr">
        <is>
          <t>Done: PIP_FRAME removed, preserveDrawingBuffer false, fishing scan skip, cached light, uniform cache (user asked to super-cull the PiP). Open: Village View stride.</t>
        </is>
      </c>
    </row>
    <row r="11">
      <c r="A11" s="5" t="inlineStr">
        <is>
          <t>PLN-07</t>
        </is>
      </c>
      <c r="B11" s="5" t="n">
        <v>7</v>
      </c>
      <c r="C11" s="5" t="inlineStr">
        <is>
          <t>One frame-clock controller</t>
        </is>
      </c>
      <c r="D11" s="5" t="inlineStr">
        <is>
          <t>FND-07, FND-08</t>
        </is>
      </c>
      <c r="E11" s="5" t="inlineStr">
        <is>
          <t>js/v2/Orchestrator.js (_loop); js/v2/anu/FrameBudget.js; AdaptiveRenderPolicy.js; js/sanctuary/AnuAdaptiveDpr.js</t>
        </is>
      </c>
      <c r="F11" s="5" t="inlineStr">
        <is>
          <t>Under an artificial GPU load, DPR steps down within 2 s; no stride oscillation.</t>
        </is>
      </c>
      <c r="G11" s="5" t="inlineStr">
        <is>
          <t>Not started</t>
        </is>
      </c>
      <c r="H11" s="5" t="inlineStr"/>
    </row>
    <row r="12">
      <c r="A12" s="5" t="inlineStr">
        <is>
          <t>PLN-08</t>
        </is>
      </c>
      <c r="B12" s="5" t="n">
        <v>8</v>
      </c>
      <c r="C12" s="5" t="inlineStr">
        <is>
          <t>Scene inventory on demand</t>
        </is>
      </c>
      <c r="D12" s="5" t="inlineStr">
        <is>
          <t>FND-09</t>
        </is>
      </c>
      <c r="E12" s="5" t="inlineStr">
        <is>
          <t>js/v2/Orchestrator.js; js/v2/anu/SceneModelInventory.js</t>
        </is>
      </c>
      <c r="F12" s="5" t="inlineStr">
        <is>
          <t>No 120-frame periodic task in a Performance trace; AnuUniverse.report() still returns inventory.</t>
        </is>
      </c>
      <c r="G12" s="5" t="inlineStr">
        <is>
          <t>Not started</t>
        </is>
      </c>
      <c r="H12" s="5" t="inlineStr"/>
    </row>
    <row r="13">
      <c r="A13" s="5" t="inlineStr">
        <is>
          <t>PLN-09</t>
        </is>
      </c>
      <c r="B13" s="5" t="n">
        <v>9</v>
      </c>
      <c r="C13" s="5" t="inlineStr">
        <is>
          <t>Move pipelineMemory out of the runtime bundle</t>
        </is>
      </c>
      <c r="D13" s="5" t="inlineStr">
        <is>
          <t>FND-12</t>
        </is>
      </c>
      <c r="E13" s="5" t="inlineStr">
        <is>
          <t>js/v2/anu/pipelineMemory.js; js/v2/AnuModule.js</t>
        </is>
      </c>
      <c r="F13" s="5" t="inlineStr">
        <is>
          <t>Live import graph &lt; 1.2 MB; AnuUniverse memory helpers still work in DevTools.</t>
        </is>
      </c>
      <c r="G13" s="5" t="inlineStr">
        <is>
          <t>Not started</t>
        </is>
      </c>
      <c r="H13" s="5" t="inlineStr"/>
    </row>
    <row r="14">
      <c r="A14" s="5" t="inlineStr">
        <is>
          <t>PLN-10</t>
        </is>
      </c>
      <c r="B14" s="5" t="n">
        <v>10</v>
      </c>
      <c r="C14" s="5" t="inlineStr">
        <is>
          <t>Asset-only caching service worker</t>
        </is>
      </c>
      <c r="D14" s="5" t="inlineStr">
        <is>
          <t>FND-13</t>
        </is>
      </c>
      <c r="E14" s="5" t="inlineStr">
        <is>
          <t>sw.js; index.html registration</t>
        </is>
      </c>
      <c r="F14" s="5" t="inlineStr">
        <is>
          <t>Second visit loads GLBs from cache; code still network-first.</t>
        </is>
      </c>
      <c r="G14" s="5" t="inlineStr">
        <is>
          <t>Not started</t>
        </is>
      </c>
      <c r="H14" s="5" t="inlineStr">
        <is>
          <t>User previously directed NO caching — confirm before changing.</t>
        </is>
      </c>
    </row>
    <row r="15">
      <c r="A15" s="5" t="inlineStr">
        <is>
          <t>PLN-11</t>
        </is>
      </c>
      <c r="B15" s="5" t="n">
        <v>11</v>
      </c>
      <c r="C15" s="5" t="inlineStr">
        <is>
          <t>Fix or remove module benchmarks</t>
        </is>
      </c>
      <c r="D15" s="5" t="inlineStr">
        <is>
          <t>FND-14</t>
        </is>
      </c>
      <c r="E15" s="5" t="inlineStr">
        <is>
          <t>js/v2/Orchestrator.js (bench methods)</t>
        </is>
      </c>
      <c r="F15" s="5" t="inlineStr">
        <is>
          <t>No misleading fpsCost in report().</t>
        </is>
      </c>
      <c r="G15" s="5" t="inlineStr">
        <is>
          <t>Not started</t>
        </is>
      </c>
      <c r="H15" s="5" t="inlineStr"/>
    </row>
    <row r="16">
      <c r="A16" s="5" t="inlineStr">
        <is>
          <t>PLN-12</t>
        </is>
      </c>
      <c r="B16" s="5" t="n">
        <v>12</v>
      </c>
      <c r="C16" s="5" t="inlineStr">
        <is>
          <t>Decide the bus/global contract</t>
        </is>
      </c>
      <c r="D16" s="5" t="inlineStr">
        <is>
          <t>FND-10, FND-11</t>
        </is>
      </c>
      <c r="E16" s="5" t="inlineStr">
        <is>
          <t>js/v2/RuntimeServices.js; top globals in 41_Globals</t>
        </is>
      </c>
      <c r="F16" s="5" t="inlineStr">
        <is>
          <t>Top 10 cross-module globals have a registered service or a documented owner.</t>
        </is>
      </c>
      <c r="G16" s="5" t="inlineStr">
        <is>
          <t>Not started</t>
        </is>
      </c>
      <c r="H16" s="5" t="inlineStr"/>
    </row>
    <row r="17">
      <c r="A17" s="5" t="inlineStr">
        <is>
          <t>PLN-13</t>
        </is>
      </c>
      <c r="B17" s="5" t="n">
        <v>13</v>
      </c>
      <c r="C17" s="5" t="inlineStr">
        <is>
          <t>Static shadow map</t>
        </is>
      </c>
      <c r="D17" s="5" t="inlineStr">
        <is>
          <t>FND-16</t>
        </is>
      </c>
      <c r="E17" s="5" t="inlineStr">
        <is>
          <t>js/v2/Orchestrator.js (stress → shadow block); js/sanctuary/SanctuaryGround.js (key light)</t>
        </is>
      </c>
      <c r="F17" s="5" t="inlineStr">
        <is>
          <t>Shadow pass only on change; visuals unchanged.</t>
        </is>
      </c>
      <c r="G17" s="5" t="inlineStr">
        <is>
          <t>Not started</t>
        </is>
      </c>
      <c r="H17" s="5" t="inlineStr"/>
    </row>
    <row r="18">
      <c r="A18" s="5" t="inlineStr">
        <is>
          <t>PLN-14</t>
        </is>
      </c>
      <c r="B18" s="5" t="n">
        <v>14</v>
      </c>
      <c r="C18" s="5" t="inlineStr">
        <is>
          <t>Small hot-loop cleanups</t>
        </is>
      </c>
      <c r="D18" s="5" t="inlineStr">
        <is>
          <t>FND-17, FND-18, FND-20</t>
        </is>
      </c>
      <c r="E18" s="5" t="inlineStr">
        <is>
          <t>js/sanctuary/SanctuaryAvatar.js; SanctuaryFishing.js; mobile detection sites</t>
        </is>
      </c>
      <c r="F18" s="5" t="inlineStr">
        <is>
          <t>No per-frame allocations in Avatar update; no transmission pass.</t>
        </is>
      </c>
      <c r="G18" s="5" t="inlineStr">
        <is>
          <t>In progress</t>
        </is>
      </c>
      <c r="H18" s="5" t="inlineStr">
        <is>
          <t>Done: gauge transmission → standard transparent (FND-18).</t>
        </is>
      </c>
    </row>
    <row r="19">
      <c r="A19" s="5" t="inlineStr">
        <is>
          <t>PLN-16</t>
        </is>
      </c>
      <c r="B19" s="5" t="n">
        <v>16</v>
      </c>
      <c r="C19" s="5" t="inlineStr">
        <is>
          <t>Fishing render cost</t>
        </is>
      </c>
      <c r="D19" s="5" t="inlineStr">
        <is>
          <t>FND-18, FND-22, FND-28, FND-15</t>
        </is>
      </c>
      <c r="E19" s="5" t="inlineStr">
        <is>
          <t>js/sanctuary/SanctuaryFishing.js; js/v2/Orchestrator.js; js/sanctuary/SanctuaryFish.js</t>
        </is>
      </c>
      <c r="F19" s="5" t="inlineStr">
        <is>
          <t>Fishing frame interval ≥ 30% shorter than baseline in a Performance trace; tipis/trees/NPCs stay visible (ATT-04).</t>
        </is>
      </c>
      <c r="G19" s="5" t="inlineStr">
        <is>
          <t>In progress</t>
        </is>
      </c>
      <c r="H19" s="5" t="inlineStr">
        <is>
          <t>Done: transmission pass removed, PiP scan skip. Open: DPR floor decision, trout decimation (PLN-04).</t>
        </is>
      </c>
    </row>
    <row r="20">
      <c r="A20" s="5" t="inlineStr">
        <is>
          <t>PLN-17</t>
        </is>
      </c>
      <c r="B20" s="5" t="n">
        <v>17</v>
      </c>
      <c r="C20" s="5" t="inlineStr">
        <is>
          <t>Restore journal command routing</t>
        </is>
      </c>
      <c r="D20" s="5" t="inlineStr">
        <is>
          <t>FND-23</t>
        </is>
      </c>
      <c r="E20" s="5" t="inlineStr">
        <is>
          <t>js/sanctuary/SanctuaryJournalBridge.js; index.html</t>
        </is>
      </c>
      <c r="F20" s="5" t="inlineStr">
        <is>
          <t>Typing a command in the journal triggers its game event; START GAME and GREET HER work.</t>
        </is>
      </c>
      <c r="G20" s="5" t="inlineStr">
        <is>
          <t>Not started</t>
        </is>
      </c>
      <c r="H20" s="5" t="inlineStr">
        <is>
          <t>Port from index.v2.html handlers — read them first.</t>
        </is>
      </c>
    </row>
    <row r="21">
      <c r="A21" s="5" t="inlineStr">
        <is>
          <t>PLN-18</t>
        </is>
      </c>
      <c r="B21" s="5" t="n">
        <v>18</v>
      </c>
      <c r="C21" s="5" t="inlineStr">
        <is>
          <t>Fix limbo UI calls</t>
        </is>
      </c>
      <c r="D21" s="5" t="inlineStr">
        <is>
          <t>FND-24, FND-25, FND-27</t>
        </is>
      </c>
      <c r="E21" s="5" t="inlineStr">
        <is>
          <t>js/sanctuary/SanctuaryToolPalette.js; index.html; js/v2/WorldStructures.js</t>
        </is>
      </c>
      <c r="F21" s="5" t="inlineStr">
        <is>
          <t>limbo.py shows no LIMBO for these names.</t>
        </is>
      </c>
      <c r="G21" s="5" t="inlineStr">
        <is>
          <t>Not started</t>
        </is>
      </c>
      <c r="H21" s="5" t="inlineStr"/>
    </row>
    <row r="22">
      <c r="A22" s="5" t="inlineStr">
        <is>
          <t>PLN-19</t>
        </is>
      </c>
      <c r="B22" s="5" t="n">
        <v>19</v>
      </c>
      <c r="C22" s="5" t="inlineStr">
        <is>
          <t>Update PiP protect rule selector</t>
        </is>
      </c>
      <c r="D22" s="5" t="inlineStr">
        <is>
          <t>FND-26</t>
        </is>
      </c>
      <c r="E22" s="5" t="inlineStr">
        <is>
          <t>.cursor/rules/sacred-pip-map-protect.mdc</t>
        </is>
      </c>
      <c r="F22" s="5" t="inlineStr">
        <is>
          <t>Rule names #v2-pip-canvas / #pip-compass-wrapper.</t>
        </is>
      </c>
      <c r="G22" s="5" t="inlineStr">
        <is>
          <t>Not started</t>
        </is>
      </c>
      <c r="H22" s="5" t="inlineStr"/>
    </row>
    <row r="23">
      <c r="A23" s="5" t="inlineStr">
        <is>
          <t>PLN-20</t>
        </is>
      </c>
      <c r="B23" s="5" t="n">
        <v>20</v>
      </c>
      <c r="C23" s="5" t="inlineStr">
        <is>
          <t>Lite avatar</t>
        </is>
      </c>
      <c r="D23" s="5" t="inlineStr">
        <is>
          <t>FND-29</t>
        </is>
      </c>
      <c r="E23" s="5" t="inlineStr">
        <is>
          <t>Assets/npc/Avatar-New.glb → lite; js/sanctuary/SanctuaryAvatar.js</t>
        </is>
      </c>
      <c r="F23" s="5" t="inlineStr">
        <is>
          <t>Avatar ≤ 50k tris, 9 clips intact, skincheck + raster preview pass.</t>
        </is>
      </c>
      <c r="G23" s="5" t="inlineStr">
        <is>
          <t>Not started</t>
        </is>
      </c>
      <c r="H23" s="5" t="inlineStr">
        <is>
          <t>Same pipeline as PLN-01.</t>
        </is>
      </c>
    </row>
    <row r="24">
      <c r="A24" s="5" t="inlineStr">
        <is>
          <t>PLN-21</t>
        </is>
      </c>
      <c r="B24" s="5" t="n">
        <v>21</v>
      </c>
      <c r="C24" s="5" t="inlineStr">
        <is>
          <t>Pond &amp; fishing change cards C-01..C-09</t>
        </is>
      </c>
      <c r="D24" s="5" t="inlineStr">
        <is>
          <t>FND-15, FND-32, FND-33, FND-34, FND-35, FND-36, FND-37, FND-38, FND-39, FND-40, FND-41, FND-42</t>
        </is>
      </c>
      <c r="E24" s="5" t="inlineStr">
        <is>
          <t>js/sanctuary/SanctuaryFishing.js; SanctuaryFish.js; SanctuaryPool.js; SanctuaryDock.js; SanctuaryCircles.js; new js/sanctuary/mergeStatic.js (from tools/decision-engine/proposals/)</t>
        </is>
      </c>
      <c r="F24" s="5" t="inlineStr">
        <is>
          <t>Census pond total 799 → 285 after C-04..C-07; merge tests exit 0; patchcheck dead count never rises; renderer.info.memory flat after 5 catches (C-01).</t>
        </is>
      </c>
      <c r="G24" s="5" t="inlineStr">
        <is>
          <t>Not started (proposals proven in Node)</t>
        </is>
      </c>
      <c r="H24" s="5" t="inlineStr">
        <is>
          <t>One card per commit; follow the playbook's Do-not lists. C-10 items wait for the owner.</t>
        </is>
      </c>
    </row>
    <row r="25">
      <c r="A25" s="5" t="inlineStr">
        <is>
          <t>PLN-15</t>
        </is>
      </c>
      <c r="B25" s="5" t="n">
        <v>15</v>
      </c>
      <c r="C25" s="5" t="inlineStr">
        <is>
          <t>Correct README / CONTRIBUTING</t>
        </is>
      </c>
      <c r="D25" s="5" t="inlineStr">
        <is>
          <t>FND-19</t>
        </is>
      </c>
      <c r="E25" s="5" t="inlineStr">
        <is>
          <t>README.md; CONTRIBUTING.md; PROGRESS.md</t>
        </is>
      </c>
      <c r="F25" s="5" t="inlineStr">
        <is>
          <t>Docs match 10_System facts.</t>
        </is>
      </c>
      <c r="G25" s="5" t="inlineStr">
        <is>
          <t>Not started</t>
        </is>
      </c>
      <c r="H25" s="5" t="inlineStr"/>
    </row>
  </sheetData>
  <autoFilter ref="A4:H25"/>
  <dataValidations count="1">
    <dataValidation sqref="G5:G25" showDropDown="0" showInputMessage="0" showErrorMessage="0" allowBlank="0" type="list">
      <formula1>"Not started,In progress,Blocked,Awaiting approval,Done (code) — verify in browser,Done"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52" customWidth="1" min="3" max="3"/>
    <col width="52" customWidth="1" min="4" max="4"/>
    <col width="16" customWidth="1" min="5" max="5"/>
  </cols>
  <sheetData>
    <row r="1">
      <c r="A1" s="9" t="inlineStr">
        <is>
          <t>Decision log</t>
        </is>
      </c>
    </row>
    <row r="2">
      <c r="A2" s="10" t="inlineStr">
        <is>
          <t>How decisions were made in this work</t>
        </is>
      </c>
    </row>
    <row r="4" ht="30" customHeight="1">
      <c r="A4" s="12" t="inlineStr">
        <is>
          <t>Decision ID</t>
        </is>
      </c>
      <c r="B4" s="12" t="inlineStr">
        <is>
          <t>Decision</t>
        </is>
      </c>
      <c r="C4" s="12" t="inlineStr">
        <is>
          <t>Reason</t>
        </is>
      </c>
      <c r="D4" s="12" t="inlineStr">
        <is>
          <t>How verified</t>
        </is>
      </c>
      <c r="E4" s="12" t="inlineStr">
        <is>
          <t>Related</t>
        </is>
      </c>
    </row>
    <row r="5">
      <c r="A5" s="5" t="inlineStr">
        <is>
          <t>DEC-01</t>
        </is>
      </c>
      <c r="B5" s="5" t="inlineStr">
        <is>
          <t>Treat index.html as the live entry, not index.v2.html</t>
        </is>
      </c>
      <c r="C5" s="5" t="inlineStr">
        <is>
          <t>GitHub Pages serves index.html; it imports js/sanctuary; README says otherwise.</t>
        </is>
      </c>
      <c r="D5" s="5" t="inlineStr">
        <is>
          <t>Import-graph walk from both entry pages (extract.py).</t>
        </is>
      </c>
      <c r="E5" s="5" t="inlineStr">
        <is>
          <t>CLM-01</t>
        </is>
      </c>
    </row>
    <row r="6">
      <c r="A6" s="5" t="inlineStr">
        <is>
          <t>DEC-02</t>
        </is>
      </c>
      <c r="B6" s="5" t="inlineStr">
        <is>
          <t>Classify file status by import reachability, never by comments</t>
        </is>
      </c>
      <c r="C6" s="5" t="inlineStr">
        <is>
          <t>Zero-trust instruction; comments drift.</t>
        </is>
      </c>
      <c r="D6" s="5" t="inlineStr">
        <is>
          <t>extract.py reachability from index.html and index.v2.html.</t>
        </is>
      </c>
      <c r="E6" s="5" t="inlineStr">
        <is>
          <t>30_Modules</t>
        </is>
      </c>
    </row>
    <row r="7">
      <c r="A7" s="5" t="inlineStr">
        <is>
          <t>DEC-03</t>
        </is>
      </c>
      <c r="B7" s="5" t="inlineStr">
        <is>
          <t>Estimate boot triangles from measured GLB tris × instance counts in code</t>
        </is>
      </c>
      <c r="C7" s="5" t="inlineStr">
        <is>
          <t>No browser available (Playwright Chromium download blocked by the network allowlist).</t>
        </is>
      </c>
      <c r="D7" s="5" t="inlineStr">
        <is>
          <t>glbjson.mjs + instance constants (TREE_COUNT, BUSH_COUNT, REED_PATCHES, FISH_COUNT, tipi clones).</t>
        </is>
      </c>
      <c r="E7" s="5" t="inlineStr">
        <is>
          <t>51_Assets</t>
        </is>
      </c>
    </row>
    <row r="8">
      <c r="A8" s="5" t="inlineStr">
        <is>
          <t>DEC-04</t>
        </is>
      </c>
      <c r="B8" s="5" t="inlineStr">
        <is>
          <t>REG targets: 60k tris / 512 px desktop, 31k / 256 px mobile</t>
        </is>
      </c>
      <c r="C8" s="5" t="inlineStr">
        <is>
          <t>Seated ~1 m NPC; YB is 37k tris; 54 maps across 18 materials dominate VRAM.</t>
        </is>
      </c>
      <c r="D8" s="5" t="inlineStr">
        <is>
          <t>skincheck.mjs (41 joints, weights sum to 1, 6 clips) + raster.py preview vs original.</t>
        </is>
      </c>
      <c r="E8" s="5" t="inlineStr">
        <is>
          <t>FND-01</t>
        </is>
      </c>
    </row>
    <row r="9">
      <c r="A9" s="5" t="inlineStr">
        <is>
          <t>DEC-05</t>
        </is>
      </c>
      <c r="B9" s="5" t="inlineStr">
        <is>
          <t>Tipi targets: 40k tris / 2048 px desktop, 15k / 1024 px mobile</t>
        </is>
      </c>
      <c r="C9" s="5" t="inlineStr">
        <is>
          <t>Tipi is ~3 m and close to camera; keep texture detail higher than NPC parts.</t>
        </is>
      </c>
      <c r="D9" s="5" t="inlineStr">
        <is>
          <t>raster.py per-pixel preview vs original.</t>
        </is>
      </c>
      <c r="E9" s="5" t="inlineStr">
        <is>
          <t>FND-02</t>
        </is>
      </c>
    </row>
    <row r="10">
      <c r="A10" s="5" t="inlineStr">
        <is>
          <t>DEC-06</t>
        </is>
      </c>
      <c r="B10" s="5" t="inlineStr">
        <is>
          <t>Do not change game code without approval</t>
        </is>
      </c>
      <c r="C10" s="5" t="inlineStr">
        <is>
          <t>User asked to plan the swap; repo scope-lock rule; PiP invariant.</t>
        </is>
      </c>
      <c r="D10" s="5" t="inlineStr">
        <is>
          <t>—</t>
        </is>
      </c>
      <c r="E10" s="5" t="inlineStr">
        <is>
          <t>60_Plan</t>
        </is>
      </c>
    </row>
    <row r="11">
      <c r="A11" s="5" t="inlineStr">
        <is>
          <t>DEC-07</t>
        </is>
      </c>
      <c r="B11" s="5" t="inlineStr">
        <is>
          <t>Deliver the workbook as .xlsx</t>
        </is>
      </c>
      <c r="C11" s="5" t="inlineStr">
        <is>
          <t>No spreadsheet artifact type is offered in this session.</t>
        </is>
      </c>
      <c r="D11" s="5" t="inlineStr">
        <is>
          <t>Artifact type listing.</t>
        </is>
      </c>
      <c r="E11" s="5" t="inlineStr">
        <is>
          <t>00_Index</t>
        </is>
      </c>
    </row>
    <row r="12">
      <c r="A12" s="5" t="inlineStr">
        <is>
          <t>DEC-08</t>
        </is>
      </c>
      <c r="B12" s="5" t="inlineStr">
        <is>
          <t>Revert the package-lock.json rename instead of committing it</t>
        </is>
      </c>
      <c r="C12" s="5" t="inlineStr">
        <is>
          <t>Side effect of npm install in a differently named folder; scope lock.</t>
        </is>
      </c>
      <c r="D12" s="5" t="inlineStr">
        <is>
          <t>git diff showed only the name field.</t>
        </is>
      </c>
      <c r="E12" s="5" t="inlineStr">
        <is>
          <t>—</t>
        </is>
      </c>
    </row>
    <row r="13">
      <c r="A13" s="5" t="inlineStr">
        <is>
          <t>DEC-09</t>
        </is>
      </c>
      <c r="B13" s="5" t="inlineStr">
        <is>
          <t>Record comments as 'Assumed', measurements as 'Verified'</t>
        </is>
      </c>
      <c r="C13" s="5" t="inlineStr">
        <is>
          <t>Zero-trust mode.</t>
        </is>
      </c>
      <c r="D13" s="5" t="inlineStr">
        <is>
          <t>Column split in 30_Modules, 20_Subsystems, 50_Findings.</t>
        </is>
      </c>
      <c r="E13" s="5" t="inlineStr">
        <is>
          <t>—</t>
        </is>
      </c>
    </row>
    <row r="14">
      <c r="A14" s="5" t="inlineStr">
        <is>
          <t>DEC-11</t>
        </is>
      </c>
      <c r="B14" s="5" t="inlineStr">
        <is>
          <t>Name mobile files *.lite.mobile.glb</t>
        </is>
      </c>
      <c r="C14" s="5" t="inlineStr">
        <is>
          <t>The existing mobileGlbUrl rewrite (.glb → .mobile.glb) then works with no loader code change.</t>
        </is>
      </c>
      <c r="D14" s="5" t="inlineStr">
        <is>
          <t>trace/m.cjs: desktop and iPhone UA rewrite to files that exist.</t>
        </is>
      </c>
      <c r="E14" s="5" t="inlineStr">
        <is>
          <t>PLN-01, PLN-02</t>
        </is>
      </c>
    </row>
    <row r="15">
      <c r="A15" s="5" t="inlineStr">
        <is>
          <t>DEC-12</t>
        </is>
      </c>
      <c r="B15" s="5" t="inlineStr">
        <is>
          <t>PiP render-path edits are approved</t>
        </is>
      </c>
      <c r="C15" s="5" t="inlineStr">
        <is>
          <t>User asked to super-cull the PiP; that satisfies sacred-pip-map-protect.</t>
        </is>
      </c>
      <c r="D15" s="5" t="inlineStr">
        <is>
          <t>—</t>
        </is>
      </c>
      <c r="E15" s="5" t="inlineStr">
        <is>
          <t>PLN-06</t>
        </is>
      </c>
    </row>
    <row r="16">
      <c r="A16" s="5" t="inlineStr">
        <is>
          <t>DEC-13</t>
        </is>
      </c>
      <c r="B16" s="5" t="inlineStr">
        <is>
          <t>Fishing cull is view-based only, never distance or type</t>
        </is>
      </c>
      <c r="C16" s="5" t="inlineStr">
        <is>
          <t>92a1163 reversed a 16 m distance cull because tipis/trees/NPCs vanished (ATT-04).</t>
        </is>
      </c>
      <c r="D16" s="5" t="inlineStr">
        <is>
          <t>three.js already frustum-culls every heavy mesh (frustumCulled stays true); removed real extra passes instead.</t>
        </is>
      </c>
      <c r="E16" s="5" t="inlineStr">
        <is>
          <t>PLN-16</t>
        </is>
      </c>
    </row>
    <row r="17">
      <c r="A17" s="5" t="inlineStr">
        <is>
          <t>DEC-14</t>
        </is>
      </c>
      <c r="B17" s="5" t="inlineStr">
        <is>
          <t>Leave the shadow map running while fishing</t>
        </is>
      </c>
      <c r="C17" s="5" t="inlineStr">
        <is>
          <t>The avatar casts a shadow and animates while reeling; a frozen shadow map would freeze it.</t>
        </is>
      </c>
      <c r="D17" s="5" t="inlineStr">
        <is>
          <t>castShadow true on avatar meshes.</t>
        </is>
      </c>
      <c r="E17" s="5" t="inlineStr">
        <is>
          <t>FND-16</t>
        </is>
      </c>
    </row>
    <row r="18">
      <c r="A18" s="5" t="inlineStr">
        <is>
          <t>DEC-15</t>
        </is>
      </c>
      <c r="B18" s="5" t="inlineStr">
        <is>
          <t>Keep PiP MSAA; drop only preserveDrawingBuffer</t>
        </is>
      </c>
      <c r="C18" s="5" t="inlineStr">
        <is>
          <t>MSAA removal is a visible change; preserveDrawingBuffer had no reader once PIP_FRAME was gone.</t>
        </is>
      </c>
      <c r="D18" s="5" t="inlineStr">
        <is>
          <t>grep for toDataURL/toBlob/readPixels on the PiP canvas: none.</t>
        </is>
      </c>
      <c r="E18" s="5" t="inlineStr">
        <is>
          <t>FND-21</t>
        </is>
      </c>
    </row>
    <row r="19">
      <c r="A19" s="5" t="inlineStr">
        <is>
          <t>DEC-16</t>
        </is>
      </c>
      <c r="B19" s="5" t="inlineStr">
        <is>
          <t>Do not change the fishing DPR floor yet</t>
        </is>
      </c>
      <c r="C19" s="5" t="inlineStr">
        <is>
          <t>It was added on purpose for crispness; needs the user's call.</t>
        </is>
      </c>
      <c r="D19" s="5" t="inlineStr">
        <is>
          <t>—</t>
        </is>
      </c>
      <c r="E19" s="5" t="inlineStr">
        <is>
          <t>FND-28</t>
        </is>
      </c>
    </row>
    <row r="20">
      <c r="A20" s="5" t="inlineStr">
        <is>
          <t>DEC-17</t>
        </is>
      </c>
      <c r="B20" s="5" t="inlineStr">
        <is>
          <t>Merge only direct children of a group, with animated parts skipped</t>
        </is>
      </c>
      <c r="C20" s="5" t="inlineStr">
        <is>
          <t>Groups keep moving (flower bob, turtle swim); window-published meshes (lily pads) must stay separate objects.</t>
        </is>
      </c>
      <c r="D20" s="5" t="inlineStr">
        <is>
          <t>test_mergeStatic / test_mergeOthers: identical vertices, pads untouched, refs still attached.</t>
        </is>
      </c>
      <c r="E20" s="5" t="inlineStr">
        <is>
          <t>PLN-21</t>
        </is>
      </c>
    </row>
    <row r="21">
      <c r="A21" s="5" t="inlineStr">
        <is>
          <t>DEC-18</t>
        </is>
      </c>
      <c r="B21" s="5" t="inlineStr">
        <is>
          <t>Anything players can see change goes to the owner first</t>
        </is>
      </c>
      <c r="C21" s="5" t="inlineStr">
        <is>
          <t>Zero-trust + earlier reverts on visual changes (ATT-06, ATT-09).</t>
        </is>
      </c>
      <c r="D21" s="5" t="inlineStr">
        <is>
          <t>Playbook C-10 lists 8 such decisions.</t>
        </is>
      </c>
      <c r="E21" s="5" t="inlineStr">
        <is>
          <t>PLN-21</t>
        </is>
      </c>
    </row>
    <row r="22">
      <c r="A22" s="5" t="inlineStr">
        <is>
          <t>DEC-10</t>
        </is>
      </c>
      <c r="B22" s="5" t="inlineStr">
        <is>
          <t>Use per-pixel rasterization for low-poly previews</t>
        </is>
      </c>
      <c r="C22" s="5" t="inlineStr">
        <is>
          <t>Centroid sampling made big triangles look blotchy and would mislead.</t>
        </is>
      </c>
      <c r="D22" s="5" t="inlineStr">
        <is>
          <t>raster.py vs render.py side by side.</t>
        </is>
      </c>
      <c r="E22" s="5" t="inlineStr">
        <is>
          <t>FND-01, FND-02</t>
        </is>
      </c>
    </row>
  </sheetData>
  <autoFilter ref="A4:E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40" customWidth="1" min="4" max="4"/>
    <col width="70" customWidth="1" min="5" max="5"/>
    <col width="44" customWidth="1" min="6" max="6"/>
  </cols>
  <sheetData>
    <row r="1">
      <c r="A1" s="9" t="inlineStr">
        <is>
          <t>Mechanical review playbook</t>
        </is>
      </c>
    </row>
    <row r="2">
      <c r="A2" s="10" t="inlineStr">
        <is>
          <t>Zero-trust: run the check, do not trust the last result blindly</t>
        </is>
      </c>
    </row>
    <row r="4" ht="30" customHeight="1">
      <c r="A4" s="12" t="inlineStr">
        <is>
          <t>Review ID</t>
        </is>
      </c>
      <c r="B4" s="12" t="inlineStr">
        <is>
          <t>Symptom</t>
        </is>
      </c>
      <c r="C4" s="12" t="inlineStr">
        <is>
          <t>Subsystem</t>
        </is>
      </c>
      <c r="D4" s="12" t="inlineStr">
        <is>
          <t>Penetration point</t>
        </is>
      </c>
      <c r="E4" s="12" t="inlineStr">
        <is>
          <t>Mechanical check</t>
        </is>
      </c>
      <c r="F4" s="12" t="inlineStr">
        <is>
          <t>Last result</t>
        </is>
      </c>
    </row>
    <row r="5">
      <c r="A5" s="5" t="inlineStr">
        <is>
          <t>RVW-01</t>
        </is>
      </c>
      <c r="B5" s="5" t="inlineStr">
        <is>
          <t>Low FPS in Village View</t>
        </is>
      </c>
      <c r="C5" s="5" t="inlineStr">
        <is>
          <t>SUB-05</t>
        </is>
      </c>
      <c r="D5" s="5" t="inlineStr">
        <is>
          <t>js/v2/Orchestrator.js:L1392</t>
        </is>
      </c>
      <c r="E5" s="5" t="inlineStr">
        <is>
          <t>In DevTools: watch anuOrchestrator._pipRenderedLastFrame for 60 frames with body.v4-top-down-view set.</t>
        </is>
      </c>
      <c r="F5" s="5" t="inlineStr">
        <is>
          <t>Code path renders every frame in top-down (FND-05).</t>
        </is>
      </c>
    </row>
    <row r="6">
      <c r="A6" s="5" t="inlineStr">
        <is>
          <t>RVW-02</t>
        </is>
      </c>
      <c r="B6" s="5" t="inlineStr">
        <is>
          <t>FPS low but ANU reports OPTIMAL</t>
        </is>
      </c>
      <c r="C6" s="5" t="inlineStr">
        <is>
          <t>SUB-04</t>
        </is>
      </c>
      <c r="D6" s="5" t="inlineStr">
        <is>
          <t>js/v2/Orchestrator.js:L799</t>
        </is>
      </c>
      <c r="E6" s="5" t="inlineStr">
        <is>
          <t>Compare 1/clock delta (anuOrchestrator.rawFPS) with 1000/AnuUniverse.budget avgMs; Performance panel GPU track.</t>
        </is>
      </c>
      <c r="F6" s="5" t="inlineStr">
        <is>
          <t>Governor input is JS-only time (FND-07).</t>
        </is>
      </c>
    </row>
    <row r="7">
      <c r="A7" s="5" t="inlineStr">
        <is>
          <t>RVW-03</t>
        </is>
      </c>
      <c r="B7" s="5" t="inlineStr">
        <is>
          <t>Triangle count too high</t>
        </is>
      </c>
      <c r="C7" s="5" t="inlineStr">
        <is>
          <t>SUB-14</t>
        </is>
      </c>
      <c r="D7" s="5" t="inlineStr">
        <is>
          <t>51_Assets</t>
        </is>
      </c>
      <c r="E7" s="5" t="inlineStr">
        <is>
          <t>node tools/decision-engine/glbjson.mjs out.json &lt;glbs&gt; ; in game: anuOrchestrator.renderer.info.render.triangles</t>
        </is>
      </c>
      <c r="F7" s="5" t="inlineStr">
        <is>
          <t>Boot estimate 4.03M; REG + tipis = 66%.</t>
        </is>
      </c>
    </row>
    <row r="8">
      <c r="A8" s="5" t="inlineStr">
        <is>
          <t>RVW-04</t>
        </is>
      </c>
      <c r="B8" s="5" t="inlineStr">
        <is>
          <t>Mobile crash / page reload</t>
        </is>
      </c>
      <c r="C8" s="5" t="inlineStr">
        <is>
          <t>SUB-14</t>
        </is>
      </c>
      <c r="D8" s="5" t="inlineStr">
        <is>
          <t>js/v2/gltfLoaderSetup.js:L52</t>
        </is>
      </c>
      <c r="E8" s="5" t="inlineStr">
        <is>
          <t>For each URL in 51_Assets 'Loaded at boot', check its basename is in MOBILE_GLB_VARIANTS or the module skips it on mobile.</t>
        </is>
      </c>
      <c r="F8" s="5" t="inlineStr">
        <is>
          <t>Tipi URL missing from the set (FND-02).</t>
        </is>
      </c>
    </row>
    <row r="9">
      <c r="A9" s="5" t="inlineStr">
        <is>
          <t>RVW-05</t>
        </is>
      </c>
      <c r="B9" s="5" t="inlineStr">
        <is>
          <t>Periodic hitch every ~2 s</t>
        </is>
      </c>
      <c r="C9" s="5" t="inlineStr">
        <is>
          <t>SUB-03</t>
        </is>
      </c>
      <c r="D9" s="5" t="inlineStr">
        <is>
          <t>js/v2/Orchestrator.js:L819</t>
        </is>
      </c>
      <c r="E9" s="5" t="inlineStr">
        <is>
          <t>Performance trace: long tasks spaced 120 frames apart; temporarily set the interval huge and compare.</t>
        </is>
      </c>
      <c r="F9" s="5" t="inlineStr">
        <is>
          <t>Code path confirmed; not profiled (FND-09).</t>
        </is>
      </c>
    </row>
    <row r="10">
      <c r="A10" s="5" t="inlineStr">
        <is>
          <t>RVW-06</t>
        </is>
      </c>
      <c r="B10" s="5" t="inlineStr">
        <is>
          <t>Module fpsCost numbers look wrong</t>
        </is>
      </c>
      <c r="C10" s="5" t="inlineStr">
        <is>
          <t>SUB-02</t>
        </is>
      </c>
      <c r="D10" s="5" t="inlineStr">
        <is>
          <t>js/v2/Orchestrator.js:L486</t>
        </is>
      </c>
      <c r="E10" s="5" t="inlineStr">
        <is>
          <t>Check index.html: are all activate() calls before orc.start()?</t>
        </is>
      </c>
      <c r="F10" s="5" t="inlineStr">
        <is>
          <t>Yes — benches are not isolated (FND-14).</t>
        </is>
      </c>
    </row>
    <row r="11">
      <c r="A11" s="5" t="inlineStr">
        <is>
          <t>RVW-07</t>
        </is>
      </c>
      <c r="B11" s="5" t="inlineStr">
        <is>
          <t>ANU event fires but nothing reacts</t>
        </is>
      </c>
      <c r="C11" s="5" t="inlineStr">
        <is>
          <t>SUB-03</t>
        </is>
      </c>
      <c r="D11" s="5" t="inlineStr">
        <is>
          <t>js/v2/anu/InteractionBus.js:L18</t>
        </is>
      </c>
      <c r="E11" s="5" t="inlineStr">
        <is>
          <t>grep -rn 'subscribeInteraction(' over files with status Active/Imported in 30_Modules.</t>
        </is>
      </c>
      <c r="F11" s="5" t="inlineStr">
        <is>
          <t>0 live subscribers (FND-10).</t>
        </is>
      </c>
    </row>
    <row r="12">
      <c r="A12" s="5" t="inlineStr">
        <is>
          <t>RVW-08</t>
        </is>
      </c>
      <c r="B12" s="5" t="inlineStr">
        <is>
          <t>A global changes unexpectedly</t>
        </is>
      </c>
      <c r="C12" s="5" t="inlineStr">
        <is>
          <t>SUB-02</t>
        </is>
      </c>
      <c r="D12" s="5" t="inlineStr">
        <is>
          <t>41_Globals</t>
        </is>
      </c>
      <c r="E12" s="5" t="inlineStr">
        <is>
          <t>Find the name in 41_Globals → writers column → grep 'window.&lt;name&gt;\s*=' in those files.</t>
        </is>
      </c>
      <c r="F12" s="5" t="inlineStr">
        <is>
          <t>Registry built by extract.py.</t>
        </is>
      </c>
    </row>
    <row r="13">
      <c r="A13" s="5" t="inlineStr">
        <is>
          <t>RVW-09</t>
        </is>
      </c>
      <c r="B13" s="5" t="inlineStr">
        <is>
          <t>Swapped model breaks animation</t>
        </is>
      </c>
      <c r="C13" s="5" t="inlineStr">
        <is>
          <t>SUB-09</t>
        </is>
      </c>
      <c r="D13" s="5" t="inlineStr">
        <is>
          <t>js/sanctuary/SanctuaryTipiNpcs.js:L79</t>
        </is>
      </c>
      <c r="E13" s="5" t="inlineStr">
        <is>
          <t>node tools/decision-engine/skincheck.mjs &lt;orig.glb&gt; &lt;new.glb&gt; — joints, weight sums, clip names must match.</t>
        </is>
      </c>
      <c r="F13" s="5" t="inlineStr">
        <is>
          <t>REG lite/mobile: 41 joints, 6 clips, weight deviation ≤ 0.0004.</t>
        </is>
      </c>
    </row>
    <row r="14">
      <c r="A14" s="5" t="inlineStr">
        <is>
          <t>RVW-10</t>
        </is>
      </c>
      <c r="B14" s="5" t="inlineStr">
        <is>
          <t>Decimated model looks wrong</t>
        </is>
      </c>
      <c r="C14" s="5" t="inlineStr">
        <is>
          <t>SUB-14</t>
        </is>
      </c>
      <c r="D14" s="5" t="inlineStr">
        <is>
          <t>51_Assets</t>
        </is>
      </c>
      <c r="E14" s="5" t="inlineStr">
        <is>
          <t>node tools/decision-engine/dump.mjs &lt;glb&gt; &lt;dir&gt; ; python3 -I tools/decision-engine/raster.py &lt;dir&gt; out.png title</t>
        </is>
      </c>
      <c r="F14" s="5" t="inlineStr">
        <is>
          <t>REG and tipi previews delivered (reg_compare.png, tipi_compare.png).</t>
        </is>
      </c>
    </row>
    <row r="15">
      <c r="A15" s="5" t="inlineStr">
        <is>
          <t>RVW-11</t>
        </is>
      </c>
      <c r="B15" s="5" t="inlineStr">
        <is>
          <t>New module added but nothing happens</t>
        </is>
      </c>
      <c r="C15" s="5" t="inlineStr">
        <is>
          <t>SUB-01</t>
        </is>
      </c>
      <c r="D15" s="5" t="inlineStr">
        <is>
          <t>index.html:L451</t>
        </is>
      </c>
      <c r="E15" s="5" t="inlineStr">
        <is>
          <t>Check both orc.register(X) and await orc.activate('&lt;name&gt;') exist and are not commented; rerun extract.py → 30_Modules status.</t>
        </is>
      </c>
      <c r="F15" s="5" t="inlineStr">
        <is>
          <t>SanctuaryHexGrid is registered but its activate line is commented out.</t>
        </is>
      </c>
    </row>
    <row r="16">
      <c r="A16" s="5" t="inlineStr">
        <is>
          <t>RVW-13</t>
        </is>
      </c>
      <c r="B16" s="5" t="inlineStr">
        <is>
          <t>Fishing scene slow</t>
        </is>
      </c>
      <c r="C16" s="5" t="inlineStr">
        <is>
          <t>SUB-11</t>
        </is>
      </c>
      <c r="D16" s="5" t="inlineStr">
        <is>
          <t>js/sanctuary/SanctuaryFishing.js:L1293</t>
        </is>
      </c>
      <c r="E16" s="5" t="inlineStr">
        <is>
          <t>DevTools: scan scene for materials with transmission &gt; 0; check AnuUniverse.adaptiveDpr.snapshot() floor; count PiP renders; never fix by hiding world objects (ATT-04).</t>
        </is>
      </c>
      <c r="F16" s="5" t="inlineStr">
        <is>
          <t>Transmission removed; PiP scan skipped; DPR floor 1.5 still pinned.</t>
        </is>
      </c>
    </row>
    <row r="17">
      <c r="A17" s="5" t="inlineStr">
        <is>
          <t>RVW-14</t>
        </is>
      </c>
      <c r="B17" s="5" t="inlineStr">
        <is>
          <t>A call or message seems to do nothing</t>
        </is>
      </c>
      <c r="C17" s="5" t="inlineStr">
        <is>
          <t>SUB-02</t>
        </is>
      </c>
      <c r="D17" s="5" t="inlineStr">
        <is>
          <t>44_Limbo_Calls</t>
        </is>
      </c>
      <c r="E17" s="5" t="inlineStr">
        <is>
          <t>python3 -I tools/decision-engine/limbo.py &lt;repo&gt; system.json limbo.json — look the name up in 44_Limbo_Calls.</t>
        </is>
      </c>
      <c r="F17" s="5" t="inlineStr">
        <is>
          <t>13 postMessage types, 4 window functions, 7 DOM ids, 17 ANU events without a live receiver at build.</t>
        </is>
      </c>
    </row>
    <row r="18">
      <c r="A18" s="5" t="inlineStr">
        <is>
          <t>RVW-12</t>
        </is>
      </c>
      <c r="B18" s="5" t="inlineStr">
        <is>
          <t>This workbook may be stale</t>
        </is>
      </c>
      <c r="C18" s="5" t="inlineStr">
        <is>
          <t>SUB-01</t>
        </is>
      </c>
      <c r="D18" s="5" t="inlineStr">
        <is>
          <t>10_System commit row</t>
        </is>
      </c>
      <c r="E18" s="5" t="inlineStr">
        <is>
          <t>python3 -I tools/decision-engine/extract.py &lt;repo&gt; system.json &amp;&amp; python3 -I tools/decision-engine/build_engine.py … ; search the workbook for 'NOT FOUND'.</t>
        </is>
      </c>
      <c r="F18" s="5" t="inlineStr">
        <is>
          <t>Built at commit e22e24d.</t>
        </is>
      </c>
    </row>
    <row r="19">
      <c r="A19" s="5" t="inlineStr">
        <is>
          <t>RVW-15</t>
        </is>
      </c>
      <c r="B19" s="5" t="inlineStr">
        <is>
          <t>Pond or fishing view draws too much</t>
        </is>
      </c>
      <c r="C19" s="5" t="inlineStr">
        <is>
          <t>SUB-06</t>
        </is>
      </c>
      <c r="D19" s="5" t="inlineStr">
        <is>
          <t>js/sanctuary/SanctuaryPool.js:L1792</t>
        </is>
      </c>
      <c r="E19" s="5" t="inlineStr">
        <is>
          <t>node --import ./tools/decision-engine/census_pre.mjs tools/decision-engine/scene_census.mjs &lt;file&gt; &lt;ExportName&gt; …; compare with the playbook baseline (799 pond total); look at byKind for the biggest row; check frustumCulledFalse and doubleSidedTransparent.</t>
        </is>
      </c>
      <c r="F19" s="5" t="inlineStr">
        <is>
          <t>Merges must keep window-published meshes and animated refs (DEC-17).</t>
        </is>
      </c>
    </row>
    <row r="20">
      <c r="A20" s="5" t="inlineStr">
        <is>
          <t>RVW-16</t>
        </is>
      </c>
      <c r="B20" s="5" t="inlineStr">
        <is>
          <t>A shader patch seems to do nothing</t>
        </is>
      </c>
      <c r="C20" s="5" t="inlineStr">
        <is>
          <t>SUB-06</t>
        </is>
      </c>
      <c r="D20" s="5" t="inlineStr">
        <is>
          <t>js/sanctuary/SanctuaryPool.js:L131</t>
        </is>
      </c>
      <c r="E20" s="5" t="inlineStr">
        <is>
          <t>node tools/decision-engine/patchcheck.mjs — lists every .replace() target missing from r160's raw ShaderLib text (onBeforeCompile sees text before #include expansion).</t>
        </is>
      </c>
      <c r="F20" s="5" t="inlineStr">
        <is>
          <t>Baseline: 1 dead (FND-39).</t>
        </is>
      </c>
    </row>
    <row r="21">
      <c r="A21" s="5" t="inlineStr">
        <is>
          <t>RVW-17</t>
        </is>
      </c>
      <c r="B21" s="5" t="inlineStr">
        <is>
          <t>GPU memory grows during play</t>
        </is>
      </c>
      <c r="C21" s="5" t="inlineStr">
        <is>
          <t>SUB-11</t>
        </is>
      </c>
      <c r="D21" s="5" t="inlineStr">
        <is>
          <t>js/sanctuary/SanctuaryFishing.js:L2723</t>
        </is>
      </c>
      <c r="E21" s="5" t="inlineStr">
        <is>
          <t>Console: anuOrchestrator.renderer.info.memory before/after 5 catches; grep every .remove( of a mesh for a matching dispose, and every material.dispose() for its .map.</t>
        </is>
      </c>
      <c r="F21" s="5" t="inlineStr">
        <is>
          <t>material.dispose() never frees textures.</t>
        </is>
      </c>
    </row>
  </sheetData>
  <autoFilter ref="A4:F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4" customWidth="1" min="3" max="3"/>
    <col width="14" customWidth="1" min="4" max="4"/>
    <col width="44" customWidth="1" min="5" max="5"/>
    <col width="50" customWidth="1" min="6" max="6"/>
    <col width="32" customWidth="1" min="7" max="7"/>
    <col width="9" customWidth="1" min="8" max="8"/>
    <col width="40" customWidth="1" min="9" max="9"/>
  </cols>
  <sheetData>
    <row r="1">
      <c r="A1" s="9" t="inlineStr">
        <is>
          <t>Attempts ledger</t>
        </is>
      </c>
    </row>
    <row r="2">
      <c r="A2" s="10" t="inlineStr">
        <is>
          <t>Shared by every agent: append a row for every attempt, success or failure</t>
        </is>
      </c>
    </row>
    <row r="4" ht="30" customHeight="1">
      <c r="A4" s="12" t="inlineStr">
        <is>
          <t>Attempt ID</t>
        </is>
      </c>
      <c r="B4" s="12" t="inlineStr">
        <is>
          <t>Date</t>
        </is>
      </c>
      <c r="C4" s="12" t="inlineStr">
        <is>
          <t>Agent</t>
        </is>
      </c>
      <c r="D4" s="12" t="inlineStr">
        <is>
          <t>Area</t>
        </is>
      </c>
      <c r="E4" s="12" t="inlineStr">
        <is>
          <t>What was tried</t>
        </is>
      </c>
      <c r="F4" s="12" t="inlineStr">
        <is>
          <t>Result</t>
        </is>
      </c>
      <c r="G4" s="12" t="inlineStr">
        <is>
          <t>Evidence</t>
        </is>
      </c>
      <c r="H4" s="12" t="inlineStr">
        <is>
          <t>Do not retry</t>
        </is>
      </c>
      <c r="I4" s="12" t="inlineStr">
        <is>
          <t>Lesson</t>
        </is>
      </c>
    </row>
    <row r="5">
      <c r="A5" s="5" t="inlineStr">
        <is>
          <t>ATT-01</t>
        </is>
      </c>
      <c r="B5" s="5" t="inlineStr">
        <is>
          <t>2026-05-09</t>
        </is>
      </c>
      <c r="C5" s="5" t="inlineStr">
        <is>
          <t>Previous agent</t>
        </is>
      </c>
      <c r="D5" s="5" t="inlineStr">
        <is>
          <t>Journal</t>
        </is>
      </c>
      <c r="E5" s="5" t="inlineStr">
        <is>
          <t>Kill the journal's GL context (iframe → about:blank on close)</t>
        </is>
      </c>
      <c r="F5" s="5" t="inlineStr">
        <is>
          <t>Reverted (98c4819): slow load + broken journal</t>
        </is>
      </c>
      <c r="G5" s="5" t="inlineStr">
        <is>
          <t>d0f7895, 466fa8d → 98c4819</t>
        </is>
      </c>
      <c r="H5" s="5" t="inlineStr">
        <is>
          <t>Yes</t>
        </is>
      </c>
      <c r="I5" s="5" t="inlineStr">
        <is>
          <t>Journal must stay loaded.</t>
        </is>
      </c>
    </row>
    <row r="6">
      <c r="A6" s="5" t="inlineStr">
        <is>
          <t>ATT-02</t>
        </is>
      </c>
      <c r="B6" s="5" t="inlineStr">
        <is>
          <t>2026-05-26</t>
        </is>
      </c>
      <c r="C6" s="5" t="inlineStr">
        <is>
          <t>Previous agent</t>
        </is>
      </c>
      <c r="D6" s="5" t="inlineStr">
        <is>
          <t>Flora</t>
        </is>
      </c>
      <c r="E6" s="5" t="inlineStr">
        <is>
          <t>V2_FLORA_MAX_TREE_INSTANCES = 0</t>
        </is>
      </c>
      <c r="F6" s="5" t="inlineStr">
        <is>
          <t>Failed: ≤0 disables the cap → ~3M tris; reset to 260</t>
        </is>
      </c>
      <c r="G6" s="5" t="inlineStr">
        <is>
          <t>docs/INCIDENT_REPORT_2026_05_26.md</t>
        </is>
      </c>
      <c r="H6" s="5" t="inlineStr">
        <is>
          <t>Yes</t>
        </is>
      </c>
      <c r="I6" s="5" t="inlineStr">
        <is>
          <t>Never set the cap ≤ 0.</t>
        </is>
      </c>
    </row>
    <row r="7">
      <c r="A7" s="5" t="inlineStr">
        <is>
          <t>ATT-03</t>
        </is>
      </c>
      <c r="B7" s="5" t="inlineStr">
        <is>
          <t>2026-05-26</t>
        </is>
      </c>
      <c r="C7" s="5" t="inlineStr">
        <is>
          <t>Previous agent</t>
        </is>
      </c>
      <c r="D7" s="5" t="inlineStr">
        <is>
          <t>Repo</t>
        </is>
      </c>
      <c r="E7" s="5" t="inlineStr">
        <is>
          <t>git restore . &amp;&amp; git clean -fd to 'clean' a bad agent's work</t>
        </is>
      </c>
      <c r="F7" s="5" t="inlineStr">
        <is>
          <t>Failed: destroyed the user's uncommitted work + 60 files</t>
        </is>
      </c>
      <c r="G7" s="5" t="inlineStr">
        <is>
          <t>docs/INCIDENT_REPORT_2026_05_26.md</t>
        </is>
      </c>
      <c r="H7" s="5" t="inlineStr">
        <is>
          <t>Yes</t>
        </is>
      </c>
      <c r="I7" s="5" t="inlineStr">
        <is>
          <t>No destructive git, ever.</t>
        </is>
      </c>
    </row>
    <row r="8">
      <c r="A8" s="5" t="inlineStr">
        <is>
          <t>ATT-04</t>
        </is>
      </c>
      <c r="B8" s="5" t="inlineStr">
        <is>
          <t>2026-05-29</t>
        </is>
      </c>
      <c r="C8" s="5" t="inlineStr">
        <is>
          <t>Previous agent</t>
        </is>
      </c>
      <c r="D8" s="5" t="inlineStr">
        <is>
          <t>Fishing</t>
        </is>
      </c>
      <c r="E8" s="5" t="inlineStr">
        <is>
          <t>Hide everything beyond 16 m while fishing</t>
        </is>
      </c>
      <c r="F8" s="5" t="inlineStr">
        <is>
          <t>Reverted (92a1163): tipis, trees, NPCs vanished; radius 70 m + exclusions</t>
        </is>
      </c>
      <c r="G8" s="5" t="inlineStr">
        <is>
          <t>92a1163</t>
        </is>
      </c>
      <c r="H8" s="5" t="inlineStr">
        <is>
          <t>Yes</t>
        </is>
      </c>
      <c r="I8" s="5" t="inlineStr">
        <is>
          <t>Fishing culling must be view-based only.</t>
        </is>
      </c>
    </row>
    <row r="9">
      <c r="A9" s="5" t="inlineStr">
        <is>
          <t>ATT-05</t>
        </is>
      </c>
      <c r="B9" s="5" t="inlineStr">
        <is>
          <t>2026-05-27</t>
        </is>
      </c>
      <c r="C9" s="5" t="inlineStr">
        <is>
          <t>Previous agent</t>
        </is>
      </c>
      <c r="D9" s="5" t="inlineStr">
        <is>
          <t>PiP</t>
        </is>
      </c>
      <c r="E9" s="5" t="inlineStr">
        <is>
          <t>Unthrottle PiP + semantic culling + hologram theme</t>
        </is>
      </c>
      <c r="F9" s="5" t="inlineStr">
        <is>
          <t>Partly reverted: hologram removed (47424db); tree culling undone (5bf2db8)</t>
        </is>
      </c>
      <c r="G9" s="5" t="inlineStr">
        <is>
          <t>049c9a1 → 47424db, 5bf2db8</t>
        </is>
      </c>
      <c r="H9" s="5" t="inlineStr">
        <is>
          <t>Yes</t>
        </is>
      </c>
      <c r="I9" s="5" t="inlineStr">
        <is>
          <t>Trees and bushes must show in the minimap in normal view.</t>
        </is>
      </c>
    </row>
    <row r="10">
      <c r="A10" s="5" t="inlineStr">
        <is>
          <t>ATT-06</t>
        </is>
      </c>
      <c r="B10" s="5" t="inlineStr">
        <is>
          <t>2026-05-28</t>
        </is>
      </c>
      <c r="C10" s="5" t="inlineStr">
        <is>
          <t>Previous agent</t>
        </is>
      </c>
      <c r="D10" s="5" t="inlineStr">
        <is>
          <t>Fishing</t>
        </is>
      </c>
      <c r="E10" s="5" t="inlineStr">
        <is>
          <t>Hide dial koi / player border / gauge rim while fishing</t>
        </is>
      </c>
      <c r="F10" s="5" t="inlineStr">
        <is>
          <t>Reverted (6204233) on user push-back</t>
        </is>
      </c>
      <c r="G10" s="5" t="inlineStr">
        <is>
          <t>6204233</t>
        </is>
      </c>
      <c r="H10" s="5" t="inlineStr">
        <is>
          <t>Yes</t>
        </is>
      </c>
      <c r="I10" s="5" t="inlineStr">
        <is>
          <t>Keep player border visible; recolour instead.</t>
        </is>
      </c>
    </row>
    <row r="11">
      <c r="A11" s="5" t="inlineStr">
        <is>
          <t>ATT-07</t>
        </is>
      </c>
      <c r="B11" s="5" t="inlineStr">
        <is>
          <t>2026-05-29</t>
        </is>
      </c>
      <c r="C11" s="5" t="inlineStr">
        <is>
          <t>Previous agent</t>
        </is>
      </c>
      <c r="D11" s="5" t="inlineStr">
        <is>
          <t>Maps</t>
        </is>
      </c>
      <c r="E11" s="5" t="inlineStr">
        <is>
          <t>Change the default map on load (scene0/scene1), force-reset localStorage</t>
        </is>
      </c>
      <c r="F11" s="5" t="inlineStr">
        <is>
          <t>Reverted 3× the same day</t>
        </is>
      </c>
      <c r="G11" s="5" t="inlineStr">
        <is>
          <t>a4fbc78, 5e06b8c → 15a7e16, c83d57c, 491295f</t>
        </is>
      </c>
      <c r="H11" s="5" t="inlineStr">
        <is>
          <t>Yes</t>
        </is>
      </c>
      <c r="I11" s="5" t="inlineStr">
        <is>
          <t>Ask the user before touching the default map.</t>
        </is>
      </c>
    </row>
    <row r="12">
      <c r="A12" s="5" t="inlineStr">
        <is>
          <t>ATT-08</t>
        </is>
      </c>
      <c r="B12" s="5" t="inlineStr">
        <is>
          <t>2026-05-29</t>
        </is>
      </c>
      <c r="C12" s="5" t="inlineStr">
        <is>
          <t>Previous agent</t>
        </is>
      </c>
      <c r="D12" s="5" t="inlineStr">
        <is>
          <t>Avatar</t>
        </is>
      </c>
      <c r="E12" s="5" t="inlineStr">
        <is>
          <t>Turn avatar 180° to fix start orientation</t>
        </is>
      </c>
      <c r="F12" s="5" t="inlineStr">
        <is>
          <t>Reverted</t>
        </is>
      </c>
      <c r="G12" s="5" t="inlineStr">
        <is>
          <t>9900df1</t>
        </is>
      </c>
      <c r="H12" s="5" t="inlineStr">
        <is>
          <t>Yes</t>
        </is>
      </c>
      <c r="I12" s="5" t="inlineStr"/>
    </row>
    <row r="13">
      <c r="A13" s="5" t="inlineStr">
        <is>
          <t>ATT-09</t>
        </is>
      </c>
      <c r="B13" s="5" t="inlineStr">
        <is>
          <t>2026-05-28</t>
        </is>
      </c>
      <c r="C13" s="5" t="inlineStr">
        <is>
          <t>Previous agent</t>
        </is>
      </c>
      <c r="D13" s="5" t="inlineStr">
        <is>
          <t>Pool</t>
        </is>
      </c>
      <c r="E13" s="5" t="inlineStr">
        <is>
          <t>Water clarity bundle + remove moss tufts</t>
        </is>
      </c>
      <c r="F13" s="5" t="inlineStr">
        <is>
          <t>Reverted</t>
        </is>
      </c>
      <c r="G13" s="5" t="inlineStr">
        <is>
          <t>de3c912 → d8ee422</t>
        </is>
      </c>
      <c r="H13" s="5" t="inlineStr">
        <is>
          <t>Yes</t>
        </is>
      </c>
      <c r="I13" s="5" t="inlineStr"/>
    </row>
    <row r="14">
      <c r="A14" s="5" t="inlineStr">
        <is>
          <t>ATT-10</t>
        </is>
      </c>
      <c r="B14" s="5" t="inlineStr">
        <is>
          <t>2026-05-30</t>
        </is>
      </c>
      <c r="C14" s="5" t="inlineStr">
        <is>
          <t>Previous agent</t>
        </is>
      </c>
      <c r="D14" s="5" t="inlineStr">
        <is>
          <t>Hex grid</t>
        </is>
      </c>
      <c r="E14" s="5" t="inlineStr">
        <is>
          <t>Gold 3D hex lines / invisible overlay</t>
        </is>
      </c>
      <c r="F14" s="5" t="inlineStr">
        <is>
          <t>Removed (a51037c) / reverted (58d4372); seams live in the terrain shader; SanctuaryHexGrid activation commented out</t>
        </is>
      </c>
      <c r="G14" s="5" t="inlineStr">
        <is>
          <t>a51037c, 58d4372</t>
        </is>
      </c>
      <c r="H14" s="5" t="inlineStr">
        <is>
          <t>Yes</t>
        </is>
      </c>
      <c r="I14" s="5" t="inlineStr">
        <is>
          <t>Do not reactivate SanctuaryHexGrid without asking.</t>
        </is>
      </c>
    </row>
    <row r="15">
      <c r="A15" s="5" t="inlineStr">
        <is>
          <t>ATT-11</t>
        </is>
      </c>
      <c r="B15" s="5" t="inlineStr">
        <is>
          <t>2026-05-31</t>
        </is>
      </c>
      <c r="C15" s="5" t="inlineStr">
        <is>
          <t>User directive</t>
        </is>
      </c>
      <c r="D15" s="5" t="inlineStr">
        <is>
          <t>Service worker</t>
        </is>
      </c>
      <c r="E15" s="5" t="inlineStr">
        <is>
          <t>Caching service worker</t>
        </is>
      </c>
      <c r="F15" s="5" t="inlineStr">
        <is>
          <t>Replaced by self-destruct kill switch on request</t>
        </is>
      </c>
      <c r="G15" s="5" t="inlineStr">
        <is>
          <t>53b7422</t>
        </is>
      </c>
      <c r="H15" s="5" t="inlineStr">
        <is>
          <t>Yes</t>
        </is>
      </c>
      <c r="I15" s="5" t="inlineStr">
        <is>
          <t>No caching without the user's OK (PLN-10).</t>
        </is>
      </c>
    </row>
    <row r="16">
      <c r="A16" s="5" t="inlineStr">
        <is>
          <t>ATT-12</t>
        </is>
      </c>
      <c r="B16" s="5" t="inlineStr">
        <is>
          <t>2026-06-01</t>
        </is>
      </c>
      <c r="C16" s="5" t="inlineStr">
        <is>
          <t>Previous agent</t>
        </is>
      </c>
      <c r="D16" s="5" t="inlineStr">
        <is>
          <t>Mobile</t>
        </is>
      </c>
      <c r="E16" s="5" t="inlineStr">
        <is>
          <t>Second WebGL context for PiP on iOS</t>
        </is>
      </c>
      <c r="F16" s="5" t="inlineStr">
        <is>
          <t>Failed: context limit / blank screen; mobile uses main-context render target</t>
        </is>
      </c>
      <c r="G16" s="5" t="inlineStr">
        <is>
          <t>e377f7c</t>
        </is>
      </c>
      <c r="H16" s="5" t="inlineStr">
        <is>
          <t>Yes</t>
        </is>
      </c>
      <c r="I16" s="5" t="inlineStr">
        <is>
          <t>Never a 2nd WebGL context on mobile.</t>
        </is>
      </c>
    </row>
    <row r="17">
      <c r="A17" s="5" t="inlineStr">
        <is>
          <t>ATT-13</t>
        </is>
      </c>
      <c r="B17" s="5" t="inlineStr">
        <is>
          <t>2026-06-01</t>
        </is>
      </c>
      <c r="C17" s="5" t="inlineStr">
        <is>
          <t>Previous agent</t>
        </is>
      </c>
      <c r="D17" s="5" t="inlineStr">
        <is>
          <t>Mobile</t>
        </is>
      </c>
      <c r="E17" s="5" t="inlineStr">
        <is>
          <t>Full-scene geometry warm-up on mobile</t>
        </is>
      </c>
      <c r="F17" s="5" t="inlineStr">
        <is>
          <t>Failed: 'can't load WebGL'; skipped on mobile</t>
        </is>
      </c>
      <c r="G17" s="5" t="inlineStr">
        <is>
          <t>git log 2026-06-01</t>
        </is>
      </c>
      <c r="H17" s="5" t="inlineStr">
        <is>
          <t>Yes</t>
        </is>
      </c>
      <c r="I17" s="5" t="inlineStr"/>
    </row>
    <row r="18">
      <c r="A18" s="5" t="inlineStr">
        <is>
          <t>ATT-14</t>
        </is>
      </c>
      <c r="B18" s="5" t="inlineStr">
        <is>
          <t>2026-06-01</t>
        </is>
      </c>
      <c r="C18" s="5" t="inlineStr">
        <is>
          <t>Previous agent</t>
        </is>
      </c>
      <c r="D18" s="5" t="inlineStr">
        <is>
          <t>Mobile</t>
        </is>
      </c>
      <c r="E18" s="5" t="inlineStr">
        <is>
          <t>Cap mobile textures at 256 px at upload</t>
        </is>
      </c>
      <c r="F18" s="5" t="inlineStr">
        <is>
          <t>Worked: stopped iOS OOM</t>
        </is>
      </c>
      <c r="G18" s="5" t="inlineStr">
        <is>
          <t>git log 2026-06-01</t>
        </is>
      </c>
      <c r="H18" s="5" t="inlineStr">
        <is>
          <t>No</t>
        </is>
      </c>
      <c r="I18" s="5" t="inlineStr">
        <is>
          <t>Keep.</t>
        </is>
      </c>
    </row>
    <row r="19">
      <c r="A19" s="5" t="inlineStr">
        <is>
          <t>ATT-15</t>
        </is>
      </c>
      <c r="B19" s="5" t="inlineStr">
        <is>
          <t>2026-10-22</t>
        </is>
      </c>
      <c r="C19" s="5" t="inlineStr">
        <is>
          <t>Claude</t>
        </is>
      </c>
      <c r="D19" s="5" t="inlineStr">
        <is>
          <t>Tooling</t>
        </is>
      </c>
      <c r="E19" s="5" t="inlineStr">
        <is>
          <t>Install Playwright Chromium to run the game headless</t>
        </is>
      </c>
      <c r="F19" s="5" t="inlineStr">
        <is>
          <t>Failed: browser download blocked by the network allowlist</t>
        </is>
      </c>
      <c r="G19" s="5" t="inlineStr">
        <is>
          <t>npx playwright install</t>
        </is>
      </c>
      <c r="H19" s="5" t="inlineStr">
        <is>
          <t>Yes</t>
        </is>
      </c>
      <c r="I19" s="5" t="inlineStr">
        <is>
          <t>Use static gates + offline raster checks here; runtime checks happen on the user's machine.</t>
        </is>
      </c>
    </row>
    <row r="20">
      <c r="A20" s="5" t="inlineStr">
        <is>
          <t>ATT-16</t>
        </is>
      </c>
      <c r="B20" s="5" t="inlineStr">
        <is>
          <t>2026-10-22</t>
        </is>
      </c>
      <c r="C20" s="5" t="inlineStr">
        <is>
          <t>Claude</t>
        </is>
      </c>
      <c r="D20" s="5" t="inlineStr">
        <is>
          <t>Tooling</t>
        </is>
      </c>
      <c r="E20" s="5" t="inlineStr">
        <is>
          <t>Parse gltf-transform inspect CSV</t>
        </is>
      </c>
      <c r="F20" s="5" t="inlineStr">
        <is>
          <t>Failed: output is tables; replaced by glbjson.mjs (NodeIO)</t>
        </is>
      </c>
      <c r="G20" s="5" t="inlineStr">
        <is>
          <t>glbjson.mjs</t>
        </is>
      </c>
      <c r="H20" s="5" t="inlineStr">
        <is>
          <t>Yes</t>
        </is>
      </c>
      <c r="I20" s="5" t="inlineStr"/>
    </row>
    <row r="21">
      <c r="A21" s="5" t="inlineStr">
        <is>
          <t>ATT-17</t>
        </is>
      </c>
      <c r="B21" s="5" t="inlineStr">
        <is>
          <t>2026-10-22</t>
        </is>
      </c>
      <c r="C21" s="5" t="inlineStr">
        <is>
          <t>Claude</t>
        </is>
      </c>
      <c r="D21" s="5" t="inlineStr">
        <is>
          <t>Previews</t>
        </is>
      </c>
      <c r="E21" s="5" t="inlineStr">
        <is>
          <t>Centroid-sampled preview of decimated models</t>
        </is>
      </c>
      <c r="F21" s="5" t="inlineStr">
        <is>
          <t>Misleading: big triangles looked blotchy; replaced by per-pixel raster.py</t>
        </is>
      </c>
      <c r="G21" s="5" t="inlineStr">
        <is>
          <t>raster.py</t>
        </is>
      </c>
      <c r="H21" s="5" t="inlineStr">
        <is>
          <t>Yes</t>
        </is>
      </c>
      <c r="I21" s="5" t="inlineStr"/>
    </row>
    <row r="22">
      <c r="A22" s="5" t="inlineStr">
        <is>
          <t>ATT-18</t>
        </is>
      </c>
      <c r="B22" s="5" t="inlineStr">
        <is>
          <t>2026-10-22</t>
        </is>
      </c>
      <c r="C22" s="5" t="inlineStr">
        <is>
          <t>Claude</t>
        </is>
      </c>
      <c r="D22" s="5" t="inlineStr">
        <is>
          <t>Tooling</t>
        </is>
      </c>
      <c r="E22" s="5" t="inlineStr">
        <is>
          <t>Stub navigator by assignment in Node 22</t>
        </is>
      </c>
      <c r="F22" s="5" t="inlineStr">
        <is>
          <t>Failed silently (read-only global); use Object.defineProperty</t>
        </is>
      </c>
      <c r="G22" s="5" t="inlineStr">
        <is>
          <t>trace/m.cjs</t>
        </is>
      </c>
      <c r="H22" s="5" t="inlineStr">
        <is>
          <t>Yes</t>
        </is>
      </c>
      <c r="I22" s="5" t="inlineStr"/>
    </row>
    <row r="23">
      <c r="A23" s="5" t="inlineStr">
        <is>
          <t>ATT-19</t>
        </is>
      </c>
      <c r="B23" s="5" t="inlineStr">
        <is>
          <t>2026-10-22</t>
        </is>
      </c>
      <c r="C23" s="5" t="inlineStr">
        <is>
          <t>Claude</t>
        </is>
      </c>
      <c r="D23" s="5" t="inlineStr">
        <is>
          <t>Limbo tracer</t>
        </is>
      </c>
      <c r="E23" s="5" t="inlineStr">
        <is>
          <t>Line-based regex over live code</t>
        </is>
      </c>
      <c r="F23" s="5" t="inlineStr">
        <is>
          <t>False positives: multi-line calls, comments, prose file, relay lists, nested frames; fixed</t>
        </is>
      </c>
      <c r="G23" s="5" t="inlineStr">
        <is>
          <t>limbo.py</t>
        </is>
      </c>
      <c r="H23" s="5" t="inlineStr">
        <is>
          <t>Yes</t>
        </is>
      </c>
      <c r="I23" s="5" t="inlineStr">
        <is>
          <t>Keep full-text + comment filter + relay lists + nested frames.</t>
        </is>
      </c>
    </row>
    <row r="24">
      <c r="A24" s="5" t="inlineStr">
        <is>
          <t>ATT-20</t>
        </is>
      </c>
      <c r="B24" s="5" t="inlineStr">
        <is>
          <t>2026-10-22</t>
        </is>
      </c>
      <c r="C24" s="5" t="inlineStr">
        <is>
          <t>Claude</t>
        </is>
      </c>
      <c r="D24" s="5" t="inlineStr">
        <is>
          <t>REG</t>
        </is>
      </c>
      <c r="E24" s="5" t="inlineStr">
        <is>
          <t>REG lite with 1024 px textures</t>
        </is>
      </c>
      <c r="F24" s="5" t="inlineStr">
        <is>
          <t>Too heavy: 198 MB VRAM; 512 px → 66 MB</t>
        </is>
      </c>
      <c r="G24" s="5" t="inlineStr">
        <is>
          <t>lite.mjs</t>
        </is>
      </c>
      <c r="H24" s="5" t="inlineStr">
        <is>
          <t>Yes</t>
        </is>
      </c>
      <c r="I24" s="5" t="inlineStr"/>
    </row>
    <row r="25">
      <c r="A25" s="5" t="inlineStr">
        <is>
          <t>ATT-21</t>
        </is>
      </c>
      <c r="B25" s="5" t="inlineStr">
        <is>
          <t>2026-10-22</t>
        </is>
      </c>
      <c r="C25" s="5" t="inlineStr">
        <is>
          <t>Claude</t>
        </is>
      </c>
      <c r="D25" s="5" t="inlineStr">
        <is>
          <t>REG + tipi</t>
        </is>
      </c>
      <c r="E25" s="5" t="inlineStr">
        <is>
          <t>Swap to lite models (PLN-01/02)</t>
        </is>
      </c>
      <c r="F25" s="5" t="inlineStr">
        <is>
          <t>Done in code; static gates + URL trace pass; not runtime-tested</t>
        </is>
      </c>
      <c r="G25" s="5" t="inlineStr">
        <is>
          <t>SanctuaryTipiNpcs.js, SanctuaryTipis.js, gltfLoaderSetup.js</t>
        </is>
      </c>
      <c r="H25" s="5" t="inlineStr">
        <is>
          <t>No</t>
        </is>
      </c>
      <c r="I25" s="5" t="inlineStr">
        <is>
          <t>Verify in browser: seats, scale, animation, mobile.</t>
        </is>
      </c>
    </row>
    <row r="26">
      <c r="A26" s="5" t="inlineStr">
        <is>
          <t>ATT-22</t>
        </is>
      </c>
      <c r="B26" s="5" t="inlineStr">
        <is>
          <t>2026-10-22</t>
        </is>
      </c>
      <c r="C26" s="5" t="inlineStr">
        <is>
          <t>Claude</t>
        </is>
      </c>
      <c r="D26" s="5" t="inlineStr">
        <is>
          <t>PiP</t>
        </is>
      </c>
      <c r="E26" s="5" t="inlineStr">
        <is>
          <t>Remove PIP_FRAME, preserveDrawingBuffer false, skip fishing scan, cache light + time uniforms</t>
        </is>
      </c>
      <c r="F26" s="5" t="inlineStr">
        <is>
          <t>Done in code; not runtime-tested</t>
        </is>
      </c>
      <c r="G26" s="5" t="inlineStr">
        <is>
          <t>Orchestrator.js</t>
        </is>
      </c>
      <c r="H26" s="5" t="inlineStr">
        <is>
          <t>No</t>
        </is>
      </c>
      <c r="I26" s="5" t="inlineStr">
        <is>
          <t>Verify minimap holds its frame between strides.</t>
        </is>
      </c>
    </row>
    <row r="27">
      <c r="A27" s="5" t="inlineStr">
        <is>
          <t>ATT-23</t>
        </is>
      </c>
      <c r="B27" s="5" t="inlineStr">
        <is>
          <t>2026-10-22</t>
        </is>
      </c>
      <c r="C27" s="5" t="inlineStr">
        <is>
          <t>Claude</t>
        </is>
      </c>
      <c r="D27" s="5" t="inlineStr">
        <is>
          <t>Fishing</t>
        </is>
      </c>
      <c r="E27" s="5" t="inlineStr">
        <is>
          <t>Gauge transmission → transparent standard material</t>
        </is>
      </c>
      <c r="F27" s="5" t="inlineStr">
        <is>
          <t>Done in code; visual check needed</t>
        </is>
      </c>
      <c r="G27" s="5" t="inlineStr">
        <is>
          <t>SanctuaryFishing.js</t>
        </is>
      </c>
      <c r="H27" s="5" t="inlineStr">
        <is>
          <t>No</t>
        </is>
      </c>
      <c r="I27" s="5" t="inlineStr">
        <is>
          <t>If the dial looks wrong, revert this one material only.</t>
        </is>
      </c>
    </row>
    <row r="28">
      <c r="A28" s="5" t="inlineStr">
        <is>
          <t>ATT-24</t>
        </is>
      </c>
      <c r="B28" s="5" t="inlineStr">
        <is>
          <t>2026-10-22</t>
        </is>
      </c>
      <c r="C28" s="5" t="inlineStr">
        <is>
          <t>Coder 1</t>
        </is>
      </c>
      <c r="D28" s="5" t="inlineStr">
        <is>
          <t>PiP</t>
        </is>
      </c>
      <c r="E28" s="5" t="inlineStr">
        <is>
          <t>Line audit of Finding 2 + four new observations</t>
        </is>
      </c>
      <c r="F28" s="5" t="inlineStr">
        <is>
          <t>All claims re-verified by Claude</t>
        </is>
      </c>
      <c r="G28" s="5" t="inlineStr">
        <is>
          <t>CLM-16..20</t>
        </is>
      </c>
      <c r="H28" s="5" t="inlineStr">
        <is>
          <t>No</t>
        </is>
      </c>
      <c r="I28" s="5" t="inlineStr"/>
    </row>
    <row r="29">
      <c r="A29" s="5" t="inlineStr">
        <is>
          <t>ATT-25</t>
        </is>
      </c>
      <c r="B29" s="5" t="inlineStr">
        <is>
          <t>2026-10-22</t>
        </is>
      </c>
      <c r="C29" s="5" t="inlineStr">
        <is>
          <t>Claude</t>
        </is>
      </c>
      <c r="D29" s="5" t="inlineStr">
        <is>
          <t>Fish</t>
        </is>
      </c>
      <c r="E29" s="5" t="inlineStr">
        <is>
          <t>Count fish.obj triangles with awk</t>
        </is>
      </c>
      <c r="F29" s="5" t="inlineStr">
        <is>
          <t>Wrong: CRLF line endings → 23,466; OBJLoader count is 15,644 (7,822 quads)</t>
        </is>
      </c>
      <c r="G29" s="5" t="inlineStr">
        <is>
          <t>FND-15</t>
        </is>
      </c>
      <c r="H29" s="5" t="inlineStr">
        <is>
          <t>Yes</t>
        </is>
      </c>
      <c r="I29" s="5" t="inlineStr">
        <is>
          <t>Count geometry with a real loader or the census, never awk on OBJ.</t>
        </is>
      </c>
    </row>
    <row r="30">
      <c r="A30" s="5" t="inlineStr">
        <is>
          <t>ATT-26</t>
        </is>
      </c>
      <c r="B30" s="5" t="inlineStr">
        <is>
          <t>2026-10-22</t>
        </is>
      </c>
      <c r="C30" s="5" t="inlineStr">
        <is>
          <t>Claude</t>
        </is>
      </c>
      <c r="D30" s="5" t="inlineStr">
        <is>
          <t>Tooling</t>
        </is>
      </c>
      <c r="E30" s="5" t="inlineStr">
        <is>
          <t>Run sanctuary load() in Node via node_stage.mjs</t>
        </is>
      </c>
      <c r="F30" s="5" t="inlineStr">
        <is>
          <t>Worked after fixes: line-anchored import rewrite (comments derailed regex), Request/ProgressEvent/addEventListener/img-load stubs, console silenced for clean JSON</t>
        </is>
      </c>
      <c r="G30" s="5" t="inlineStr">
        <is>
          <t>node_stage.mjs, scene_census.mjs</t>
        </is>
      </c>
      <c r="H30" s="5" t="inlineStr">
        <is>
          <t>No</t>
        </is>
      </c>
      <c r="I30" s="5" t="inlineStr">
        <is>
          <t>Pool module is a singleton: reuse the first scene; run from repo root.</t>
        </is>
      </c>
    </row>
    <row r="31">
      <c r="A31" s="5" t="inlineStr">
        <is>
          <t>ATT-27</t>
        </is>
      </c>
      <c r="B31" s="5" t="inlineStr">
        <is>
          <t>2026-10-22</t>
        </is>
      </c>
      <c r="C31" s="5" t="inlineStr">
        <is>
          <t>Claude</t>
        </is>
      </c>
      <c r="D31" s="5" t="inlineStr">
        <is>
          <t>Merge test</t>
        </is>
      </c>
      <c r="E31" s="5" t="inlineStr">
        <is>
          <t>Exact string compare of baked vertices</t>
        </is>
      </c>
      <c r="F31" s="5" t="inlineStr">
        <is>
          <t>Failed: float32 rounding flips; replaced by spatial-hash tolerance match (1e-4 m)</t>
        </is>
      </c>
      <c r="G31" s="5" t="inlineStr">
        <is>
          <t>test_mergeStatic.mjs</t>
        </is>
      </c>
      <c r="H31" s="5" t="inlineStr">
        <is>
          <t>Yes</t>
        </is>
      </c>
      <c r="I31" s="5" t="inlineStr"/>
    </row>
    <row r="32">
      <c r="A32" s="5" t="inlineStr">
        <is>
          <t>ATT-28</t>
        </is>
      </c>
      <c r="B32" s="5" t="inlineStr">
        <is>
          <t>2026-10-22</t>
        </is>
      </c>
      <c r="C32" s="5" t="inlineStr">
        <is>
          <t>Claude</t>
        </is>
      </c>
      <c r="D32" s="5" t="inlineStr">
        <is>
          <t>Merge</t>
        </is>
      </c>
      <c r="E32" s="5" t="inlineStr">
        <is>
          <t>mergeStaticChildren on lilies, rocks, dock, turtle</t>
        </is>
      </c>
      <c r="F32" s="5" t="inlineStr">
        <is>
          <t>Worked in Node: 799 → 285 pond draws, identical geometry/colour; NOT yet in the game</t>
        </is>
      </c>
      <c r="G32" s="5" t="inlineStr">
        <is>
          <t>test_mergeStatic.mjs, test_mergeOthers.mjs</t>
        </is>
      </c>
      <c r="H32" s="5" t="inlineStr">
        <is>
          <t>No</t>
        </is>
      </c>
      <c r="I32" s="5" t="inlineStr">
        <is>
          <t>Ship via PLN-21 cards, one per commit.</t>
        </is>
      </c>
    </row>
    <row r="33">
      <c r="A33" s="5" t="inlineStr">
        <is>
          <t>ATT-29</t>
        </is>
      </c>
      <c r="B33" s="5" t="inlineStr">
        <is>
          <t>2026-10-22</t>
        </is>
      </c>
      <c r="C33" s="5" t="inlineStr">
        <is>
          <t>Claude</t>
        </is>
      </c>
      <c r="D33" s="5" t="inlineStr">
        <is>
          <t>Merge</t>
        </is>
      </c>
      <c r="E33" s="5" t="inlineStr">
        <is>
          <t>mergeStaticChildren on frogs (tint as vertex colour, tongue/leg_ skipped)</t>
        </is>
      </c>
      <c r="F33" s="5" t="inlineStr">
        <is>
          <t>No gain: 160 → 160 (every part has its own material params)</t>
        </is>
      </c>
      <c r="G33" s="5" t="inlineStr">
        <is>
          <t>test_mergeOthers.mjs</t>
        </is>
      </c>
      <c r="H33" s="5" t="inlineStr">
        <is>
          <t>Yes</t>
        </is>
      </c>
      <c r="I33" s="5" t="inlineStr">
        <is>
          <t>Frogs need shared materials or BatchedMesh first (C-10 #3).</t>
        </is>
      </c>
    </row>
    <row r="34">
      <c r="A34" s="5" t="inlineStr">
        <is>
          <t>ATT-30</t>
        </is>
      </c>
      <c r="B34" s="5" t="inlineStr">
        <is>
          <t>2026-10-22</t>
        </is>
      </c>
      <c r="C34" s="5" t="inlineStr">
        <is>
          <t>Claude</t>
        </is>
      </c>
      <c r="D34" s="5" t="inlineStr">
        <is>
          <t>Tooling</t>
        </is>
      </c>
      <c r="E34" s="5" t="inlineStr">
        <is>
          <t>node glbjson.mjs Assets/flora/reeds.glb (input passed first)</t>
        </is>
      </c>
      <c r="F34" s="5" t="inlineStr">
        <is>
          <t>Damage: argv[2] is the OUTPUT — reeds.glb overwritten; restored with git checkout; guard added (refuses non-.json output)</t>
        </is>
      </c>
      <c r="G34" s="5" t="inlineStr">
        <is>
          <t>glbjson.mjs</t>
        </is>
      </c>
      <c r="H34" s="5" t="inlineStr">
        <is>
          <t>Yes</t>
        </is>
      </c>
      <c r="I34" s="5" t="inlineStr">
        <is>
          <t>Read a tool's usage line before running it on assets; check git status after.</t>
        </is>
      </c>
    </row>
  </sheetData>
  <autoFilter ref="A4:I3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90" customWidth="1" min="3" max="3"/>
    <col width="11" customWidth="1" min="4" max="4"/>
    <col width="30" customWidth="1" min="5" max="5"/>
  </cols>
  <sheetData>
    <row r="1">
      <c r="A1" s="9" t="inlineStr">
        <is>
          <t>Session log</t>
        </is>
      </c>
    </row>
    <row r="2">
      <c r="A2" s="10" t="inlineStr">
        <is>
          <t>Newest last</t>
        </is>
      </c>
    </row>
    <row r="4" ht="30" customHeight="1">
      <c r="A4" s="12" t="inlineStr">
        <is>
          <t>Log ID</t>
        </is>
      </c>
      <c r="B4" s="12" t="inlineStr">
        <is>
          <t>Date</t>
        </is>
      </c>
      <c r="C4" s="12" t="inlineStr">
        <is>
          <t>What</t>
        </is>
      </c>
      <c r="D4" s="12" t="inlineStr">
        <is>
          <t>State</t>
        </is>
      </c>
      <c r="E4" s="12" t="inlineStr">
        <is>
          <t>Pointer</t>
        </is>
      </c>
    </row>
    <row r="5">
      <c r="A5" s="5" t="inlineStr">
        <is>
          <t>LOG-01</t>
        </is>
      </c>
      <c r="B5" s="5" t="inlineStr">
        <is>
          <t>2026-10-22</t>
        </is>
      </c>
      <c r="C5" s="5" t="inlineStr">
        <is>
          <t>Cloned repos; identified SacredAdventures as the game; wrote claude/game-briefing.md to the project.</t>
        </is>
      </c>
      <c r="D5" s="5" t="inlineStr">
        <is>
          <t>Done</t>
        </is>
      </c>
      <c r="E5" s="5" t="inlineStr"/>
    </row>
    <row r="6">
      <c r="A6" s="5" t="inlineStr">
        <is>
          <t>LOG-02</t>
        </is>
      </c>
      <c r="B6" s="5" t="inlineStr">
        <is>
          <t>2026-10-22</t>
        </is>
      </c>
      <c r="C6" s="5" t="inlineStr">
        <is>
          <t>Forensic pass on ANU + render loop (Orchestrator, anu/*, AnuAdaptiveDpr, module updates).</t>
        </is>
      </c>
      <c r="D6" s="5" t="inlineStr">
        <is>
          <t>Done</t>
        </is>
      </c>
      <c r="E6" s="5" t="inlineStr">
        <is>
          <t>50_Findings</t>
        </is>
      </c>
    </row>
    <row r="7">
      <c r="A7" s="5" t="inlineStr">
        <is>
          <t>LOG-03</t>
        </is>
      </c>
      <c r="B7" s="5" t="inlineStr">
        <is>
          <t>2026-10-22</t>
        </is>
      </c>
      <c r="C7" s="5" t="inlineStr">
        <is>
          <t>Measured every live GLB (tris, textures, VRAM).</t>
        </is>
      </c>
      <c r="D7" s="5" t="inlineStr">
        <is>
          <t>Done</t>
        </is>
      </c>
      <c r="E7" s="5" t="inlineStr">
        <is>
          <t>51_Assets</t>
        </is>
      </c>
    </row>
    <row r="8">
      <c r="A8" s="5" t="inlineStr">
        <is>
          <t>LOG-04</t>
        </is>
      </c>
      <c r="B8" s="5" t="inlineStr">
        <is>
          <t>2026-10-22</t>
        </is>
      </c>
      <c r="C8" s="5" t="inlineStr">
        <is>
          <t>Started 'ANU Performance Forensic' doc; filled Bottom line + PiP sections. Bottom-line numbers (3.6M, 74%) predate fish.obj measurement — correct to 4.03M / 66%.</t>
        </is>
      </c>
      <c r="D8" s="5" t="inlineStr">
        <is>
          <t>In progress</t>
        </is>
      </c>
      <c r="E8" s="5" t="inlineStr">
        <is>
          <t>Doc sections 2,3,5–9 pending</t>
        </is>
      </c>
    </row>
    <row r="9">
      <c r="A9" s="5" t="inlineStr">
        <is>
          <t>LOG-05</t>
        </is>
      </c>
      <c r="B9" s="5" t="inlineStr">
        <is>
          <t>2026-10-22</t>
        </is>
      </c>
      <c r="C9" s="5" t="inlineStr">
        <is>
          <t>Built NPC.REG lite/mobile and tipi lite/mobile; verified rig + previews; delivered files.</t>
        </is>
      </c>
      <c r="D9" s="5" t="inlineStr">
        <is>
          <t>Done</t>
        </is>
      </c>
      <c r="E9" s="5" t="inlineStr">
        <is>
          <t>PLN-01, PLN-02</t>
        </is>
      </c>
    </row>
    <row r="10">
      <c r="A10" s="5" t="inlineStr">
        <is>
          <t>LOG-06</t>
        </is>
      </c>
      <c r="B10" s="5" t="inlineStr">
        <is>
          <t>2026-10-22</t>
        </is>
      </c>
      <c r="C10" s="5" t="inlineStr">
        <is>
          <t>Built this Decision Engine workbook from extract.py output.</t>
        </is>
      </c>
      <c r="D10" s="5" t="inlineStr">
        <is>
          <t>Done</t>
        </is>
      </c>
      <c r="E10" s="5" t="inlineStr">
        <is>
          <t>00_Index</t>
        </is>
      </c>
    </row>
    <row r="11">
      <c r="A11" s="5" t="inlineStr">
        <is>
          <t>LOG-07</t>
        </is>
      </c>
      <c r="B11" s="5" t="inlineStr">
        <is>
          <t>2026-10-22</t>
        </is>
      </c>
      <c r="C11" s="5" t="inlineStr">
        <is>
          <t>Coder 1 report on Finding 2 received; every claim re-verified (CLM-16..20).</t>
        </is>
      </c>
      <c r="D11" s="5" t="inlineStr">
        <is>
          <t>Done</t>
        </is>
      </c>
      <c r="E11" s="5" t="inlineStr">
        <is>
          <t>52_Claims_vs_Verified</t>
        </is>
      </c>
    </row>
    <row r="12">
      <c r="A12" s="5" t="inlineStr">
        <is>
          <t>LOG-08</t>
        </is>
      </c>
      <c r="B12" s="5" t="inlineStr">
        <is>
          <t>2026-10-22</t>
        </is>
      </c>
      <c r="C12" s="5" t="inlineStr">
        <is>
          <t>Built limbo.py tracer; found journal commands, GENERATE SCENE steps and PiP toggle in limbo.</t>
        </is>
      </c>
      <c r="D12" s="5" t="inlineStr">
        <is>
          <t>Done</t>
        </is>
      </c>
      <c r="E12" s="5" t="inlineStr">
        <is>
          <t>44_Limbo_Calls</t>
        </is>
      </c>
    </row>
    <row r="13">
      <c r="A13" s="5" t="inlineStr">
        <is>
          <t>LOG-09</t>
        </is>
      </c>
      <c r="B13" s="5" t="inlineStr">
        <is>
          <t>2026-10-22</t>
        </is>
      </c>
      <c r="C13" s="5" t="inlineStr">
        <is>
          <t>Applied PLN-01/02 (lite REG + tipi), PiP quick wins and gauge material swap. Static gates pass; not runtime-tested (no browser here).</t>
        </is>
      </c>
      <c r="D13" s="5" t="inlineStr">
        <is>
          <t>Done (code)</t>
        </is>
      </c>
      <c r="E13" s="5" t="inlineStr">
        <is>
          <t>60_Plan</t>
        </is>
      </c>
    </row>
    <row r="14">
      <c r="A14" s="5" t="inlineStr">
        <is>
          <t>LOG-10</t>
        </is>
      </c>
      <c r="B14" s="5" t="inlineStr">
        <is>
          <t>2026-10-22</t>
        </is>
      </c>
      <c r="C14" s="5" t="inlineStr">
        <is>
          <t>NEXT: in-browser check of the swap and fishing view; decide DPR floor; PLN-17 journal routing; finish forensic doc.</t>
        </is>
      </c>
      <c r="D14" s="5" t="inlineStr">
        <is>
          <t>Next</t>
        </is>
      </c>
      <c r="E14" s="5" t="inlineStr"/>
    </row>
    <row r="15">
      <c r="A15" s="5" t="inlineStr">
        <is>
          <t>LOG-11</t>
        </is>
      </c>
      <c r="B15" s="5" t="inlineStr">
        <is>
          <t>2026-10-22</t>
        </is>
      </c>
      <c r="C15" s="5" t="inlineStr">
        <is>
          <t>Line-by-line pass over pool, fish, fishing, frogs, dock, circles; Node scene census (799 pond draws); merge helper proven (→ 285).</t>
        </is>
      </c>
      <c r="D15" s="5" t="inlineStr">
        <is>
          <t>Done</t>
        </is>
      </c>
      <c r="E15" s="5" t="inlineStr">
        <is>
          <t>FND-32..44, ATT-25..30</t>
        </is>
      </c>
    </row>
    <row r="16">
      <c r="A16" s="5" t="inlineStr">
        <is>
          <t>LOG-12</t>
        </is>
      </c>
      <c r="B16" s="5" t="inlineStr">
        <is>
          <t>2026-10-22</t>
        </is>
      </c>
      <c r="C16" s="5" t="inlineStr">
        <is>
          <t>Wrote 'Pool &amp; Fishing Optimization — Coder Playbook' with change cards C-01..C-10, research ranking and verification protocol; added patchcheck.mjs and census_pre.mjs.</t>
        </is>
      </c>
      <c r="D16" s="5" t="inlineStr">
        <is>
          <t>Done</t>
        </is>
      </c>
      <c r="E16" s="5" t="inlineStr">
        <is>
          <t>PLN-21</t>
        </is>
      </c>
    </row>
    <row r="17">
      <c r="A17" s="5" t="inlineStr">
        <is>
          <t>LOG-13</t>
        </is>
      </c>
      <c r="B17" s="5" t="inlineStr">
        <is>
          <t>2026-10-22</t>
        </is>
      </c>
      <c r="C17" s="5" t="inlineStr">
        <is>
          <t>NEXT: owner decisions in C-10; Coder 1 applies C-01..C-09 one per commit; browser checks per playbook section 'How to prove each change'.</t>
        </is>
      </c>
      <c r="D17" s="5" t="inlineStr">
        <is>
          <t>Next</t>
        </is>
      </c>
      <c r="E17" s="5" t="inlineStr">
        <is>
          <t>PLN-21</t>
        </is>
      </c>
    </row>
  </sheetData>
  <autoFilter ref="A4:E1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00" customWidth="1" min="2" max="2"/>
  </cols>
  <sheetData>
    <row r="1">
      <c r="A1" s="9" t="inlineStr">
        <is>
          <t>Glossary</t>
        </is>
      </c>
    </row>
    <row r="2">
      <c r="A2" s="10" t="inlineStr"/>
    </row>
    <row r="4" ht="30" customHeight="1">
      <c r="A4" s="12" t="inlineStr">
        <is>
          <t>Term</t>
        </is>
      </c>
      <c r="B4" s="12" t="inlineStr">
        <is>
          <t>Meaning</t>
        </is>
      </c>
    </row>
    <row r="5">
      <c r="A5" s="5" t="inlineStr">
        <is>
          <t>ANU / Anu / Simulation Universe</t>
        </is>
      </c>
      <c r="B5" s="5" t="inlineStr">
        <is>
          <t>The governance + telemetry layer (AnuModule + js/v2/anu). User-facing name since 2026-05-31: Simulation Universe.</t>
        </is>
      </c>
    </row>
    <row r="6">
      <c r="A6" s="5" t="inlineStr">
        <is>
          <t>SacredOrchestrator</t>
        </is>
      </c>
      <c r="B6" s="5" t="inlineStr">
        <is>
          <t>Engine shell class in js/v2/Orchestrator.js; singleton at window.anuOrchestrator.</t>
        </is>
      </c>
    </row>
    <row r="7">
      <c r="A7" s="5" t="inlineStr">
        <is>
          <t>Module</t>
        </is>
      </c>
      <c r="B7" s="5" t="inlineStr">
        <is>
          <t>Object {name, load, unload, update} registered and activated by the orchestrator.</t>
        </is>
      </c>
    </row>
    <row r="8">
      <c r="A8" s="5" t="inlineStr">
        <is>
          <t>PiP</t>
        </is>
      </c>
      <c r="B8" s="5" t="inlineStr">
        <is>
          <t>Picture-in-picture minimap/compass canvas #v2-pip-canvas; FPV in Village View, top-down map otherwise, gauge close-up while fishing.</t>
        </is>
      </c>
    </row>
    <row r="9">
      <c r="A9" s="5" t="inlineStr">
        <is>
          <t>Village View</t>
        </is>
      </c>
      <c r="B9" s="5" t="inlineStr">
        <is>
          <t>Top-down main camera (body class v4-top-down-view) where mold tools work.</t>
        </is>
      </c>
    </row>
    <row r="10">
      <c r="A10" s="5" t="inlineStr">
        <is>
          <t>Mold tool</t>
        </is>
      </c>
      <c r="B10" s="5" t="inlineStr">
        <is>
          <t>Village-shaping verb (grow_hill, plant_tree/flower/bush/lily/rock, place_tipi) applied through SanctuaryMutations.</t>
        </is>
      </c>
    </row>
    <row r="11">
      <c r="A11" s="5" t="inlineStr">
        <is>
          <t>Stride</t>
        </is>
      </c>
      <c r="B11" s="5" t="inlineStr">
        <is>
          <t>PiP renders every Nth frame (baseline 16, max 22).</t>
        </is>
      </c>
    </row>
    <row r="12">
      <c r="A12" s="5" t="inlineStr">
        <is>
          <t>DPR</t>
        </is>
      </c>
      <c r="B12" s="5" t="inlineStr">
        <is>
          <t>Device pixel ratio of the main renderer; AnuAdaptiveDpr steps a ladder 2.0 → 0.75.</t>
        </is>
      </c>
    </row>
    <row r="13">
      <c r="A13" s="5" t="inlineStr">
        <is>
          <t>Stress level</t>
        </is>
      </c>
      <c r="B13" s="5" t="inlineStr">
        <is>
          <t>OPTIMAL / STRESS / CRITICAL from rolling JS frame time vs target (FrameBudget.getSystemStressLevel).</t>
        </is>
      </c>
    </row>
    <row r="14">
      <c r="A14" s="5" t="inlineStr">
        <is>
          <t>Boot triangles</t>
        </is>
      </c>
      <c r="B14" s="5" t="inlineStr">
        <is>
          <t>Sum of measured GLB triangles × instances placed at boot (desktop, default map); excludes procedural ground/pool geometry.</t>
        </is>
      </c>
    </row>
    <row r="15">
      <c r="A15" s="5" t="inlineStr">
        <is>
          <t>VRAM (est.)</t>
        </is>
      </c>
      <c r="B15" s="5" t="inlineStr">
        <is>
          <t>Texture width × height × 4 bytes × 1.333 for mips, uncompressed; per WebGL context.</t>
        </is>
      </c>
    </row>
    <row r="16">
      <c r="A16" s="5" t="inlineStr">
        <is>
          <t>Live</t>
        </is>
      </c>
      <c r="B16" s="5" t="inlineStr">
        <is>
          <t>Reachable by import from index.html.</t>
        </is>
      </c>
    </row>
    <row r="17">
      <c r="A17" s="5" t="inlineStr">
        <is>
          <t>Zero-trust</t>
        </is>
      </c>
      <c r="B17" s="5" t="inlineStr">
        <is>
          <t>Comments and docs are recorded as Assumed; only measured facts go in Verified columns.</t>
        </is>
      </c>
    </row>
  </sheetData>
  <autoFilter ref="A4: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2026-10-22T05:33:20Z</dcterms:created>
  <dcterms:modified xmlns:dcterms="http://purl.org/dc/terms/" xmlns:xsi="http://www.w3.org/2001/XMLSchema-instance" xsi:type="dcterms:W3CDTF">2026-10-22T05:33:20Z</dcterms:modified>
</cp:coreProperties>
</file>