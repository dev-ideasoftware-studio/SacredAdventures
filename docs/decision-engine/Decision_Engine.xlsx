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comments13.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Index" sheetId="1" state="visible" r:id="rId3"/>
    <sheet name="10_System" sheetId="2" state="visible" r:id="rId4"/>
    <sheet name="11_Boot_Sequence" sheetId="3" state="visible" r:id="rId5"/>
    <sheet name="12_Frame_Loop" sheetId="4" state="visible" r:id="rId6"/>
    <sheet name="20_Subsystems" sheetId="5" state="visible" r:id="rId7"/>
    <sheet name="30_Modules" sheetId="6" state="visible" r:id="rId8"/>
    <sheet name="40_Connections" sheetId="7" state="visible" r:id="rId9"/>
    <sheet name="41_Globals" sheetId="8" state="visible" r:id="rId10"/>
    <sheet name="42_Events" sheetId="9" state="visible" r:id="rId11"/>
    <sheet name="43_Services" sheetId="10" state="visible" r:id="rId12"/>
    <sheet name="44_Limbo_Calls" sheetId="11" state="visible" r:id="rId13"/>
    <sheet name="50_Findings" sheetId="12" state="visible" r:id="rId14"/>
    <sheet name="51_Assets" sheetId="13" state="visible" r:id="rId15"/>
    <sheet name="52_Claims_vs_Verified" sheetId="14" state="visible" r:id="rId16"/>
    <sheet name="60_Plan" sheetId="15" state="visible" r:id="rId17"/>
    <sheet name="61_Decision_Log" sheetId="16" state="visible" r:id="rId18"/>
    <sheet name="62_Review_Playbook" sheetId="17" state="visible" r:id="rId19"/>
    <sheet name="63_Attempts_Ledger" sheetId="18" state="visible" r:id="rId20"/>
    <sheet name="70_Session_Log" sheetId="19" state="visible" r:id="rId21"/>
    <sheet name="90_Glossary" sheetId="20" state="visible" r:id="rId22"/>
  </sheets>
  <definedNames>
    <definedName function="false" hidden="true" localSheetId="2" name="_xlnm._FilterDatabase" vbProcedure="false">11_Boot_Sequence!$A$4:$G$48</definedName>
    <definedName function="false" hidden="true" localSheetId="3" name="_xlnm._FilterDatabase" vbProcedure="false">12_Frame_Loop!$A$4:$F$17</definedName>
    <definedName function="false" hidden="true" localSheetId="4" name="_xlnm._FilterDatabase" vbProcedure="false">20_Subsystems!$A$4:$J$20</definedName>
    <definedName function="false" hidden="true" localSheetId="5" name="_xlnm._FilterDatabase" vbProcedure="false">30_Modules!$A$4:$X$111</definedName>
    <definedName function="false" hidden="true" localSheetId="6" name="_xlnm._FilterDatabase" vbProcedure="false">40_Connections!$A$4:$G$485</definedName>
    <definedName function="false" hidden="true" localSheetId="7" name="_xlnm._FilterDatabase" vbProcedure="false">41_Globals!$A$4:$G$113</definedName>
    <definedName function="false" hidden="true" localSheetId="8" name="_xlnm._FilterDatabase" vbProcedure="false">42_Events!$A$4:$F$29</definedName>
    <definedName function="false" hidden="true" localSheetId="9" name="_xlnm._FilterDatabase" vbProcedure="false">43_Services!$A$4:$E$9</definedName>
    <definedName function="false" hidden="true" localSheetId="10" name="_xlnm._FilterDatabase" vbProcedure="false">44_Limbo_Calls!$A$4:$G$205</definedName>
    <definedName function="false" hidden="true" localSheetId="11" name="_xlnm._FilterDatabase" vbProcedure="false">50_Findings!$A$4:$L$35</definedName>
    <definedName function="false" hidden="true" localSheetId="12" name="_xlnm._FilterDatabase" vbProcedure="false">51_Assets!$A$4:$W$20</definedName>
    <definedName function="false" hidden="true" localSheetId="13" name="_xlnm._FilterDatabase" vbProcedure="false">52_Claims_vs_Verified!$A$4:$F$27</definedName>
    <definedName function="false" hidden="true" localSheetId="14" name="_xlnm._FilterDatabase" vbProcedure="false">60_Plan!$A$4:$H$24</definedName>
    <definedName function="false" hidden="true" localSheetId="15" name="_xlnm._FilterDatabase" vbProcedure="false">61_Decision_Log!$A$4:$E$20</definedName>
    <definedName function="false" hidden="true" localSheetId="16" name="_xlnm._FilterDatabase" vbProcedure="false">62_Review_Playbook!$A$4:$F$18</definedName>
    <definedName function="false" hidden="true" localSheetId="17" name="_xlnm._FilterDatabase" vbProcedure="false">63_Attempts_Ledger!$A$4:$I$28</definedName>
    <definedName function="false" hidden="true" localSheetId="18" name="_xlnm._FilterDatabase" vbProcedure="false">70_Session_Log!$A$4:$E$14</definedName>
    <definedName function="false" hidden="true" localSheetId="19" name="_xlnm._FilterDatabase" vbProcedure="false">90_Glossary!$A$4:$B$17</definedName>
  </definedNames>
  <calcPr iterateCount="100" refMode="A1" iterate="false" iterateDelta="0.0001"/>
  <extLst>
    <ext xmlns:loext="http://schemas.libreoffice.org/" uri="{7626C862-2A13-11E5-B345-FEFF819CDC9F}">
      <loext:extCalcPr stringRefSyntax="ExcelA1"/>
    </ext>
  </extLst>
</workbook>
</file>

<file path=xl/comments13.xml><?xml version="1.0" encoding="utf-8"?>
<comments xmlns="http://schemas.openxmlformats.org/spreadsheetml/2006/main" xmlns:xdr="http://schemas.openxmlformats.org/drawingml/2006/spreadsheetDrawing">
  <authors>
    <author>Unknown Author</author>
  </authors>
  <commentList>
    <comment ref="F22" authorId="0">
      <text>
        <r>
          <rPr>
            <sz val="10"/>
            <rFont val="Arial"/>
            <family val="2"/>
          </rPr>
          <t xml:space="preserve">Sum of measured triangles × instances placed at boot. Instances come from code constants cited in column O.</t>
        </r>
      </text>
    </comment>
  </commentList>
</comments>
</file>

<file path=xl/sharedStrings.xml><?xml version="1.0" encoding="utf-8"?>
<sst xmlns="http://schemas.openxmlformats.org/spreadsheetml/2006/main" count="8227" uniqueCount="3665">
  <si>
    <t xml:space="preserve">Sacred Adventures — Decision Engine</t>
  </si>
  <si>
    <t xml:space="preserve">Layered map of the live system for AI and humans. Read top-down: each level is more exact than the last. Built 2026-10-22 at commit ae31a9f. Zero-trust: 'Assumed' = comments/docs, 'Verified' = measured.</t>
  </si>
  <si>
    <t xml:space="preserve">Sheet</t>
  </si>
  <si>
    <t xml:space="preserve">Level</t>
  </si>
  <si>
    <t xml:space="preserve">What it holds</t>
  </si>
  <si>
    <t xml:space="preserve">Read it when</t>
  </si>
  <si>
    <t xml:space="preserve">Rows</t>
  </si>
  <si>
    <t xml:space="preserve">10_System</t>
  </si>
  <si>
    <t xml:space="preserve">L1 System</t>
  </si>
  <si>
    <t xml:space="preserve">Headline facts about the whole system, computed from the deeper sheets.</t>
  </si>
  <si>
    <t xml:space="preserve">Start of every session; after a rebuild.</t>
  </si>
  <si>
    <t xml:space="preserve">—</t>
  </si>
  <si>
    <t xml:space="preserve">11_Boot_Sequence</t>
  </si>
  <si>
    <t xml:space="preserve">Exact module activation order from index.html.</t>
  </si>
  <si>
    <t xml:space="preserve">Adding, removing or reordering modules.</t>
  </si>
  <si>
    <t xml:space="preserve">12_Frame_Loop</t>
  </si>
  <si>
    <t xml:space="preserve">What runs inside one RAF frame, in order, with cadence and cost class.</t>
  </si>
  <si>
    <t xml:space="preserve">Any FPS or stutter problem.</t>
  </si>
  <si>
    <t xml:space="preserve">20_Subsystems</t>
  </si>
  <si>
    <t xml:space="preserve">L2 Subsystems</t>
  </si>
  <si>
    <t xml:space="preserve">Each subsystem: assumed role vs verified reality, size, members, findings, plan.</t>
  </si>
  <si>
    <t xml:space="preserve">Choosing where a change belongs.</t>
  </si>
  <si>
    <t xml:space="preserve">30_Modules</t>
  </si>
  <si>
    <t xml:space="preserve">L3 Modules</t>
  </si>
  <si>
    <t xml:space="preserve">Every JS file: status, assumed vs verified behaviour, and all connections.</t>
  </si>
  <si>
    <t xml:space="preserve">Before editing any file.</t>
  </si>
  <si>
    <t xml:space="preserve">40_Connections</t>
  </si>
  <si>
    <t xml:space="preserve">L4 Contracts</t>
  </si>
  <si>
    <t xml:space="preserve">Every edge: imports, globals, ANU events, services, assets, postMessage.</t>
  </si>
  <si>
    <t xml:space="preserve">Tracing what a change will touch.</t>
  </si>
  <si>
    <t xml:space="preserve">41_Globals</t>
  </si>
  <si>
    <t xml:space="preserve">window.* names written/read by live code — the de-facto integration layer.</t>
  </si>
  <si>
    <t xml:space="preserve">A value changes unexpectedly.</t>
  </si>
  <si>
    <t xml:space="preserve">42_Events</t>
  </si>
  <si>
    <t xml:space="preserve">ANU_EVENTS vocabulary: who dispatches, who subscribes.</t>
  </si>
  <si>
    <t xml:space="preserve">Wiring behaviour through ANU.</t>
  </si>
  <si>
    <t xml:space="preserve">43_Services</t>
  </si>
  <si>
    <t xml:space="preserve">RuntimeServices registry: registrations and consumers.</t>
  </si>
  <si>
    <t xml:space="preserve">Adding a cross-module dependency.</t>
  </si>
  <si>
    <t xml:space="preserve">44_Limbo_Calls</t>
  </si>
  <si>
    <t xml:space="preserve">Every message, event, service, window function and DOM id sent by live code, matched to a receiver.</t>
  </si>
  <si>
    <t xml:space="preserve">A call or message seems to do nothing.</t>
  </si>
  <si>
    <t xml:space="preserve">50_Findings</t>
  </si>
  <si>
    <t xml:space="preserve">L5 Evidence</t>
  </si>
  <si>
    <t xml:space="preserve">Forensic findings: assumed vs verified, file:line evidence, fix, plan link.</t>
  </si>
  <si>
    <t xml:space="preserve">Prioritising work; proving a claim.</t>
  </si>
  <si>
    <t xml:space="preserve">51_Assets</t>
  </si>
  <si>
    <t xml:space="preserve">Measured geometry and textures of every live 3D asset, boot totals, and lite variants.</t>
  </si>
  <si>
    <t xml:space="preserve">Any GPU memory or triangle question.</t>
  </si>
  <si>
    <t xml:space="preserve">52_Claims_vs_Verified</t>
  </si>
  <si>
    <t xml:space="preserve">Statements in docs/comments checked against the code.</t>
  </si>
  <si>
    <t xml:space="preserve">Before trusting any comment or doc.</t>
  </si>
  <si>
    <t xml:space="preserve">60_Plan</t>
  </si>
  <si>
    <t xml:space="preserve">L6 Plan</t>
  </si>
  <si>
    <t xml:space="preserve">Ordered optimisation plan tied to findings and files, with acceptance tests and status.</t>
  </si>
  <si>
    <t xml:space="preserve">Deciding the next step; updating progress.</t>
  </si>
  <si>
    <t xml:space="preserve">61_Decision_Log</t>
  </si>
  <si>
    <t xml:space="preserve">Why each choice was made, the evidence, and how it was verified.</t>
  </si>
  <si>
    <t xml:space="preserve">Repeating an error; revisiting a choice.</t>
  </si>
  <si>
    <t xml:space="preserve">62_Review_Playbook</t>
  </si>
  <si>
    <t xml:space="preserve">Symptom → where to cut in → mechanical check → last result.</t>
  </si>
  <si>
    <t xml:space="preserve">A known symptom reappears.</t>
  </si>
  <si>
    <t xml:space="preserve">63_Attempts_Ledger</t>
  </si>
  <si>
    <t xml:space="preserve">What was tried, by whom, the result, and whether it must not be retried.</t>
  </si>
  <si>
    <t xml:space="preserve">Before trying a fix — check it has not already failed.</t>
  </si>
  <si>
    <t xml:space="preserve">70_Session_Log</t>
  </si>
  <si>
    <t xml:space="preserve">L7 Session</t>
  </si>
  <si>
    <t xml:space="preserve">What was done, in order, and the next step.</t>
  </si>
  <si>
    <t xml:space="preserve">Resuming work.</t>
  </si>
  <si>
    <t xml:space="preserve">90_Glossary</t>
  </si>
  <si>
    <t xml:space="preserve">Reference</t>
  </si>
  <si>
    <t xml:space="preserve">Terms used across the workbook.</t>
  </si>
  <si>
    <t xml:space="preserve">An unfamiliar term.</t>
  </si>
  <si>
    <t xml:space="preserve">ID scheme</t>
  </si>
  <si>
    <t xml:space="preserve">SUB- subsystem · MOD- file · AST- asset · EDG- edge · GLB- global · EVT- event · SVC- service · LMB- limbo call · FND- finding · CLM- claim · PLN- plan · DEC- decision · RVW- review · ATT- attempt · LOG- session.</t>
  </si>
  <si>
    <t xml:space="preserve">How to navigate</t>
  </si>
  <si>
    <t xml:space="preserve">Problem → 62_Review_Playbook (symptom) → 50_Findings (evidence) → 30_Modules (file + connections) → 40_Connections (blast radius) → 60_Plan.</t>
  </si>
  <si>
    <t xml:space="preserve">Update protocol</t>
  </si>
  <si>
    <t xml:space="preserve">Before a fix: check 63_Attempts_Ledger. After any code change: rerun tools/decision-engine/rebuild.sh, search for 'NOT FOUND', update 60_Plan, append to 63_Attempts_Ledger and 70_Session_Log.</t>
  </si>
  <si>
    <t xml:space="preserve">Repo rules that bind edits</t>
  </si>
  <si>
    <t xml:space="preserve">Scope lock (name files + reason before editing) · never obscure #pipCanvas / PiP without explicit approval · no destructive git.</t>
  </si>
  <si>
    <t xml:space="preserve">Not measured here</t>
  </si>
  <si>
    <t xml:space="preserve">Runtime FPS, GPU timings, real draw calls: no browser ran in this environment. Those cells say 'est.' or 'not profiled'.</t>
  </si>
  <si>
    <t xml:space="preserve">System facts</t>
  </si>
  <si>
    <t xml:space="preserve">Counts and totals are formulas over the deeper sheets; inputs from code are cited</t>
  </si>
  <si>
    <t xml:space="preserve">Fact</t>
  </si>
  <si>
    <t xml:space="preserve">Value</t>
  </si>
  <si>
    <t xml:space="preserve">Source / formula basis</t>
  </si>
  <si>
    <t xml:space="preserve">Repository commit</t>
  </si>
  <si>
    <t xml:space="preserve">ae31a9f</t>
  </si>
  <si>
    <t xml:space="preserve">git rev-parse --short HEAD at build</t>
  </si>
  <si>
    <t xml:space="preserve">Workbook built</t>
  </si>
  <si>
    <t xml:space="preserve">2026-10-22</t>
  </si>
  <si>
    <t xml:space="preserve">build_engine.py</t>
  </si>
  <si>
    <t xml:space="preserve">Live entry page</t>
  </si>
  <si>
    <t xml:space="preserve">index.html</t>
  </si>
  <si>
    <t xml:space="preserve">index.html:L431</t>
  </si>
  <si>
    <t xml:space="preserve">Legacy entry page</t>
  </si>
  <si>
    <t xml:space="preserve">index.v2.html (linked from launch.html)</t>
  </si>
  <si>
    <t xml:space="preserve">launch.html:L133</t>
  </si>
  <si>
    <t xml:space="preserve">Files tracked in 30_Modules</t>
  </si>
  <si>
    <t xml:space="preserve">Active modules</t>
  </si>
  <si>
    <t xml:space="preserve">30_Modules status</t>
  </si>
  <si>
    <t xml:space="preserve">Imported libraries (no lifecycle)</t>
  </si>
  <si>
    <t xml:space="preserve">Registered, activation commented out</t>
  </si>
  <si>
    <t xml:space="preserve">Legacy v2 build only</t>
  </si>
  <si>
    <t xml:space="preserve">Unreferenced by any entry page</t>
  </si>
  <si>
    <t xml:space="preserve">Boot triangles (desktop, measured assets)</t>
  </si>
  <si>
    <t xml:space="preserve">51_Assets totals</t>
  </si>
  <si>
    <t xml:space="preserve">Boot texture VRAM est. (MB, per context)</t>
  </si>
  <si>
    <t xml:space="preserve">WebGL contexts on desktop</t>
  </si>
  <si>
    <t xml:space="preserve">js/v2/Orchestrator.js:L1114</t>
  </si>
  <si>
    <t xml:space="preserve">Calls with no live receiver (limbo)</t>
  </si>
  <si>
    <t xml:space="preserve">Boot triangles before PLN-01 + PLN-02</t>
  </si>
  <si>
    <t xml:space="preserve">Texture VRAM before PLN-01 + PLN-02 (MB)</t>
  </si>
  <si>
    <t xml:space="preserve">Triangles removed by PLN-01 + PLN-02</t>
  </si>
  <si>
    <t xml:space="preserve">difference</t>
  </si>
  <si>
    <t xml:space="preserve">Live globals (window.*)</t>
  </si>
  <si>
    <t xml:space="preserve">ANU events with a live subscriber</t>
  </si>
  <si>
    <t xml:space="preserve">Open findings (Critical + High)</t>
  </si>
  <si>
    <t xml:space="preserve">Plan steps done (incl. code-done awaiting browser check)</t>
  </si>
  <si>
    <t xml:space="preserve">60_Plan status</t>
  </si>
  <si>
    <t xml:space="preserve">PiP stride baseline / max</t>
  </si>
  <si>
    <t xml:space="preserve">16 / 22</t>
  </si>
  <si>
    <t xml:space="preserve">js/v2/constants.js:L63 · js/v2/constants.js:L73</t>
  </si>
  <si>
    <t xml:space="preserve">Target FPS constant</t>
  </si>
  <si>
    <t xml:space="preserve">js/v2/constants.js:L66</t>
  </si>
  <si>
    <t xml:space="preserve">Main renderer DPR cap (desktop / mobile)</t>
  </si>
  <si>
    <t xml:space="preserve">1.5 / 1.0</t>
  </si>
  <si>
    <t xml:space="preserve">js/v2/Orchestrator.js:L130</t>
  </si>
  <si>
    <t xml:space="preserve">Save key (localStorage)</t>
  </si>
  <si>
    <t xml:space="preserve">v4.sanctuary.save</t>
  </si>
  <si>
    <t xml:space="preserve">js/sanctuary/SanctuaryControls.js:L21</t>
  </si>
  <si>
    <t xml:space="preserve">Boot sequence</t>
  </si>
  <si>
    <t xml:space="preserve">Activation order in index.html · evidence re-located at build · commit ae31a9f</t>
  </si>
  <si>
    <t xml:space="preserve">Order</t>
  </si>
  <si>
    <t xml:space="preserve">Module name</t>
  </si>
  <si>
    <t xml:space="preserve">Module ID</t>
  </si>
  <si>
    <t xml:space="preserve">File</t>
  </si>
  <si>
    <t xml:space="preserve">Subsystem</t>
  </si>
  <si>
    <t xml:space="preserve">Suspended while fishing</t>
  </si>
  <si>
    <t xml:space="preserve">Evidence</t>
  </si>
  <si>
    <t xml:space="preserve">Anu</t>
  </si>
  <si>
    <t xml:space="preserve">MOD-049</t>
  </si>
  <si>
    <t xml:space="preserve">js/v2/AnuModule.js</t>
  </si>
  <si>
    <t xml:space="preserve">SUB-03</t>
  </si>
  <si>
    <t xml:space="preserve">index.html:L497</t>
  </si>
  <si>
    <t xml:space="preserve">AnuAdaptiveDpr</t>
  </si>
  <si>
    <t xml:space="preserve">MOD-002</t>
  </si>
  <si>
    <t xml:space="preserve">js/sanctuary/AnuAdaptiveDpr.js</t>
  </si>
  <si>
    <t xml:space="preserve">SUB-04</t>
  </si>
  <si>
    <t xml:space="preserve">index.html:L500</t>
  </si>
  <si>
    <t xml:space="preserve">SanctuaryGround</t>
  </si>
  <si>
    <t xml:space="preserve">MOD-027</t>
  </si>
  <si>
    <t xml:space="preserve">js/sanctuary/SanctuaryGround.js</t>
  </si>
  <si>
    <t xml:space="preserve">SUB-06</t>
  </si>
  <si>
    <t xml:space="preserve">index.html:L503</t>
  </si>
  <si>
    <t xml:space="preserve">SanctuaryPool</t>
  </si>
  <si>
    <t xml:space="preserve">MOD-035</t>
  </si>
  <si>
    <t xml:space="preserve">js/sanctuary/SanctuaryPool.js</t>
  </si>
  <si>
    <t xml:space="preserve">index.html:L506</t>
  </si>
  <si>
    <t xml:space="preserve">SanctuaryDock</t>
  </si>
  <si>
    <t xml:space="preserve">MOD-019</t>
  </si>
  <si>
    <t xml:space="preserve">js/sanctuary/SanctuaryDock.js</t>
  </si>
  <si>
    <t xml:space="preserve">index.html:L509</t>
  </si>
  <si>
    <t xml:space="preserve">SanctuaryFish</t>
  </si>
  <si>
    <t xml:space="preserve">MOD-021</t>
  </si>
  <si>
    <t xml:space="preserve">js/sanctuary/SanctuaryFish.js</t>
  </si>
  <si>
    <t xml:space="preserve">SUB-07</t>
  </si>
  <si>
    <t xml:space="preserve">index.html:L512</t>
  </si>
  <si>
    <t xml:space="preserve">SanctuaryCircles</t>
  </si>
  <si>
    <t xml:space="preserve">MOD-014</t>
  </si>
  <si>
    <t xml:space="preserve">js/sanctuary/SanctuaryCircles.js</t>
  </si>
  <si>
    <t xml:space="preserve">index.html:L515</t>
  </si>
  <si>
    <t xml:space="preserve">SanctuaryAvatar</t>
  </si>
  <si>
    <t xml:space="preserve">MOD-011</t>
  </si>
  <si>
    <t xml:space="preserve">js/sanctuary/SanctuaryAvatar.js</t>
  </si>
  <si>
    <t xml:space="preserve">SUB-08</t>
  </si>
  <si>
    <t xml:space="preserve">index.html:L528</t>
  </si>
  <si>
    <t xml:space="preserve">SanctuaryClickToMove</t>
  </si>
  <si>
    <t xml:space="preserve">MOD-015</t>
  </si>
  <si>
    <t xml:space="preserve">js/sanctuary/SanctuaryClickToMove.js</t>
  </si>
  <si>
    <t xml:space="preserve">Yes</t>
  </si>
  <si>
    <t xml:space="preserve">index.html:L531</t>
  </si>
  <si>
    <t xml:space="preserve">SanctuaryWaterFootsteps</t>
  </si>
  <si>
    <t xml:space="preserve">MOD-043</t>
  </si>
  <si>
    <t xml:space="preserve">js/sanctuary/SanctuaryWaterFootsteps.js</t>
  </si>
  <si>
    <t xml:space="preserve">index.html:L534</t>
  </si>
  <si>
    <t xml:space="preserve">SanctuaryWorldPlayerShim</t>
  </si>
  <si>
    <t xml:space="preserve">MOD-046</t>
  </si>
  <si>
    <t xml:space="preserve">js/sanctuary/SanctuaryWorldPlayerShim.js</t>
  </si>
  <si>
    <t xml:space="preserve">index.html:L537</t>
  </si>
  <si>
    <t xml:space="preserve">SanctuarySky</t>
  </si>
  <si>
    <t xml:space="preserve">MOD-037</t>
  </si>
  <si>
    <t xml:space="preserve">js/sanctuary/SanctuarySky.js</t>
  </si>
  <si>
    <t xml:space="preserve">index.html:L540</t>
  </si>
  <si>
    <t xml:space="preserve">SanctuaryMutations</t>
  </si>
  <si>
    <t xml:space="preserve">MOD-033</t>
  </si>
  <si>
    <t xml:space="preserve">js/sanctuary/SanctuaryMutations.js</t>
  </si>
  <si>
    <t xml:space="preserve">SUB-10</t>
  </si>
  <si>
    <t xml:space="preserve">index.html:L543</t>
  </si>
  <si>
    <t xml:space="preserve">MoldGrowHill</t>
  </si>
  <si>
    <t xml:space="preserve">MOD-003</t>
  </si>
  <si>
    <t xml:space="preserve">js/sanctuary/MoldGrowHill.js</t>
  </si>
  <si>
    <t xml:space="preserve">index.html:L546</t>
  </si>
  <si>
    <t xml:space="preserve">MoldPlantTree</t>
  </si>
  <si>
    <t xml:space="preserve">MOD-009</t>
  </si>
  <si>
    <t xml:space="preserve">js/sanctuary/MoldPlantTree.js</t>
  </si>
  <si>
    <t xml:space="preserve">index.html:L549</t>
  </si>
  <si>
    <t xml:space="preserve">MoldPlantFlower</t>
  </si>
  <si>
    <t xml:space="preserve">MOD-006</t>
  </si>
  <si>
    <t xml:space="preserve">js/sanctuary/MoldPlantFlower.js</t>
  </si>
  <si>
    <t xml:space="preserve">index.html:L552</t>
  </si>
  <si>
    <t xml:space="preserve">MoldPlantBush</t>
  </si>
  <si>
    <t xml:space="preserve">MOD-005</t>
  </si>
  <si>
    <t xml:space="preserve">js/sanctuary/MoldPlantBush.js</t>
  </si>
  <si>
    <t xml:space="preserve">index.html:L555</t>
  </si>
  <si>
    <t xml:space="preserve">MoldPlantLily</t>
  </si>
  <si>
    <t xml:space="preserve">MOD-007</t>
  </si>
  <si>
    <t xml:space="preserve">js/sanctuary/MoldPlantLily.js</t>
  </si>
  <si>
    <t xml:space="preserve">index.html:L556</t>
  </si>
  <si>
    <t xml:space="preserve">MoldPlantRock</t>
  </si>
  <si>
    <t xml:space="preserve">MOD-008</t>
  </si>
  <si>
    <t xml:space="preserve">js/sanctuary/MoldPlantRock.js</t>
  </si>
  <si>
    <t xml:space="preserve">index.html:L557</t>
  </si>
  <si>
    <t xml:space="preserve">MoldPlaceTipi</t>
  </si>
  <si>
    <t xml:space="preserve">MOD-004</t>
  </si>
  <si>
    <t xml:space="preserve">js/sanctuary/MoldPlaceTipi.js</t>
  </si>
  <si>
    <t xml:space="preserve">index.html:L558</t>
  </si>
  <si>
    <t xml:space="preserve">SanctuaryButterflies</t>
  </si>
  <si>
    <t xml:space="preserve">MOD-013</t>
  </si>
  <si>
    <t xml:space="preserve">js/sanctuary/SanctuaryButterflies.js</t>
  </si>
  <si>
    <t xml:space="preserve">index.html:L561</t>
  </si>
  <si>
    <t xml:space="preserve">SanctuaryToolPalette</t>
  </si>
  <si>
    <t xml:space="preserve">MOD-040</t>
  </si>
  <si>
    <t xml:space="preserve">js/sanctuary/SanctuaryToolPalette.js</t>
  </si>
  <si>
    <t xml:space="preserve">index.html:L564</t>
  </si>
  <si>
    <t xml:space="preserve">SanctuaryMapGeneratorUi</t>
  </si>
  <si>
    <t xml:space="preserve">MOD-032</t>
  </si>
  <si>
    <t xml:space="preserve">js/sanctuary/SanctuaryMapGeneratorUi.js</t>
  </si>
  <si>
    <t xml:space="preserve">index.html:L565</t>
  </si>
  <si>
    <t xml:space="preserve">SanctuaryKeyboardLook</t>
  </si>
  <si>
    <t xml:space="preserve">MOD-031</t>
  </si>
  <si>
    <t xml:space="preserve">js/sanctuary/SanctuaryKeyboardLook.js</t>
  </si>
  <si>
    <t xml:space="preserve">index.html:L568</t>
  </si>
  <si>
    <t xml:space="preserve">SanctuaryZoom</t>
  </si>
  <si>
    <t xml:space="preserve">MOD-048</t>
  </si>
  <si>
    <t xml:space="preserve">js/sanctuary/SanctuaryZoom.js</t>
  </si>
  <si>
    <t xml:space="preserve">index.html:L571</t>
  </si>
  <si>
    <t xml:space="preserve">PanelsPIP</t>
  </si>
  <si>
    <t xml:space="preserve">MOD-064</t>
  </si>
  <si>
    <t xml:space="preserve">js/v2/UIModule.js</t>
  </si>
  <si>
    <t xml:space="preserve">SUB-05</t>
  </si>
  <si>
    <t xml:space="preserve">index.html:L574</t>
  </si>
  <si>
    <t xml:space="preserve">SanctuaryVillagePad</t>
  </si>
  <si>
    <t xml:space="preserve">MOD-042</t>
  </si>
  <si>
    <t xml:space="preserve">js/sanctuary/SanctuaryVillagePad.js</t>
  </si>
  <si>
    <t xml:space="preserve">index.html:L577</t>
  </si>
  <si>
    <t xml:space="preserve">SanctuaryTipis</t>
  </si>
  <si>
    <t xml:space="preserve">MOD-039</t>
  </si>
  <si>
    <t xml:space="preserve">js/sanctuary/SanctuaryTipis.js</t>
  </si>
  <si>
    <t xml:space="preserve">index.html:L580</t>
  </si>
  <si>
    <t xml:space="preserve">SanctuaryTipiNpcs</t>
  </si>
  <si>
    <t xml:space="preserve">MOD-038</t>
  </si>
  <si>
    <t xml:space="preserve">js/sanctuary/SanctuaryTipiNpcs.js</t>
  </si>
  <si>
    <t xml:space="preserve">SUB-09</t>
  </si>
  <si>
    <t xml:space="preserve">index.html:L583</t>
  </si>
  <si>
    <t xml:space="preserve">SanctuaryBraziers</t>
  </si>
  <si>
    <t xml:space="preserve">MOD-012</t>
  </si>
  <si>
    <t xml:space="preserve">js/sanctuary/SanctuaryBraziers.js</t>
  </si>
  <si>
    <t xml:space="preserve">index.html:L586</t>
  </si>
  <si>
    <t xml:space="preserve">SanctuaryFishJumps</t>
  </si>
  <si>
    <t xml:space="preserve">MOD-022</t>
  </si>
  <si>
    <t xml:space="preserve">js/sanctuary/SanctuaryFishJumps.js</t>
  </si>
  <si>
    <t xml:space="preserve">index.html:L589</t>
  </si>
  <si>
    <t xml:space="preserve">SanctuaryControls</t>
  </si>
  <si>
    <t xml:space="preserve">MOD-016</t>
  </si>
  <si>
    <t xml:space="preserve">js/sanctuary/SanctuaryControls.js</t>
  </si>
  <si>
    <t xml:space="preserve">SUB-12</t>
  </si>
  <si>
    <t xml:space="preserve">index.html:L592</t>
  </si>
  <si>
    <t xml:space="preserve">SanctuaryDayNight</t>
  </si>
  <si>
    <t xml:space="preserve">MOD-018</t>
  </si>
  <si>
    <t xml:space="preserve">js/sanctuary/SanctuaryDayNight.js</t>
  </si>
  <si>
    <t xml:space="preserve">index.html:L595</t>
  </si>
  <si>
    <t xml:space="preserve">SanctuaryCursor</t>
  </si>
  <si>
    <t xml:space="preserve">MOD-017</t>
  </si>
  <si>
    <t xml:space="preserve">js/sanctuary/SanctuaryCursor.js</t>
  </si>
  <si>
    <t xml:space="preserve">index.html:L598</t>
  </si>
  <si>
    <t xml:space="preserve">SanctuaryAmbient</t>
  </si>
  <si>
    <t xml:space="preserve">MOD-010</t>
  </si>
  <si>
    <t xml:space="preserve">js/sanctuary/SanctuaryAmbient.js</t>
  </si>
  <si>
    <t xml:space="preserve">index.html:L601</t>
  </si>
  <si>
    <t xml:space="preserve">SanctuaryInventory</t>
  </si>
  <si>
    <t xml:space="preserve">MOD-029</t>
  </si>
  <si>
    <t xml:space="preserve">js/sanctuary/SanctuaryInventory.js</t>
  </si>
  <si>
    <t xml:space="preserve">index.html:L604</t>
  </si>
  <si>
    <t xml:space="preserve">SanctuaryWeather</t>
  </si>
  <si>
    <t xml:space="preserve">MOD-044</t>
  </si>
  <si>
    <t xml:space="preserve">js/sanctuary/SanctuaryWeather.js</t>
  </si>
  <si>
    <t xml:space="preserve">index.html:L607</t>
  </si>
  <si>
    <t xml:space="preserve">SanctuaryFishing</t>
  </si>
  <si>
    <t xml:space="preserve">MOD-023</t>
  </si>
  <si>
    <t xml:space="preserve">js/sanctuary/SanctuaryFishing.js</t>
  </si>
  <si>
    <t xml:space="preserve">SUB-11</t>
  </si>
  <si>
    <t xml:space="preserve">index.html:L611</t>
  </si>
  <si>
    <t xml:space="preserve">SanctuaryWelcomeGuide</t>
  </si>
  <si>
    <t xml:space="preserve">MOD-045</t>
  </si>
  <si>
    <t xml:space="preserve">js/sanctuary/SanctuaryWelcomeGuide.js</t>
  </si>
  <si>
    <t xml:space="preserve">SUB-13</t>
  </si>
  <si>
    <t xml:space="preserve">index.html:L614</t>
  </si>
  <si>
    <t xml:space="preserve">SanctuaryJournalBridge</t>
  </si>
  <si>
    <t xml:space="preserve">MOD-030</t>
  </si>
  <si>
    <t xml:space="preserve">js/sanctuary/SanctuaryJournalBridge.js</t>
  </si>
  <si>
    <t xml:space="preserve">index.html:L617</t>
  </si>
  <si>
    <t xml:space="preserve">SanctuaryDragonfly</t>
  </si>
  <si>
    <t xml:space="preserve">MOD-020</t>
  </si>
  <si>
    <t xml:space="preserve">js/sanctuary/SanctuaryDragonfly.js</t>
  </si>
  <si>
    <t xml:space="preserve">index.html:L620</t>
  </si>
  <si>
    <t xml:space="preserve">SanctuaryPondTrees</t>
  </si>
  <si>
    <t xml:space="preserve">MOD-034</t>
  </si>
  <si>
    <t xml:space="preserve">js/sanctuary/SanctuaryPondTrees.js</t>
  </si>
  <si>
    <t xml:space="preserve">index.html:L623</t>
  </si>
  <si>
    <t xml:space="preserve">SanctuaryFrogs</t>
  </si>
  <si>
    <t xml:space="preserve">MOD-026</t>
  </si>
  <si>
    <t xml:space="preserve">js/sanctuary/SanctuaryFrogs.js</t>
  </si>
  <si>
    <t xml:space="preserve">index.html:L626</t>
  </si>
  <si>
    <t xml:space="preserve">SanctuaryHexGrid (commented out)</t>
  </si>
  <si>
    <t xml:space="preserve">MOD-028</t>
  </si>
  <si>
    <t xml:space="preserve">js/sanctuary/SanctuaryHexGrid.js</t>
  </si>
  <si>
    <t xml:space="preserve">index.html:L525</t>
  </si>
  <si>
    <t xml:space="preserve">Frame loop</t>
  </si>
  <si>
    <t xml:space="preserve">SacredOrchestrator._loop — order of work in one frame</t>
  </si>
  <si>
    <t xml:space="preserve">Step</t>
  </si>
  <si>
    <t xml:space="preserve">Work</t>
  </si>
  <si>
    <t xml:space="preserve">Cadence</t>
  </si>
  <si>
    <t xml:space="preserve">Cost class</t>
  </si>
  <si>
    <t xml:space="preserve">Findings</t>
  </si>
  <si>
    <t xml:space="preserve">FPS EMA smoothing</t>
  </si>
  <si>
    <t xml:space="preserve">Every frame</t>
  </si>
  <si>
    <t xml:space="preserve">js/v2/Orchestrator.js:L666</t>
  </si>
  <si>
    <t xml:space="preserve">CPU, trivial</t>
  </si>
  <si>
    <t xml:space="preserve">AnuNatureAwareness.tick()</t>
  </si>
  <si>
    <t xml:space="preserve">js/v2/Orchestrator.js:L698</t>
  </si>
  <si>
    <t xml:space="preserve">43 module update() calls in activation order (27 skipped while fishing)</t>
  </si>
  <si>
    <t xml:space="preserve">js/v2/Orchestrator.js:L702</t>
  </si>
  <si>
    <t xml:space="preserve">CPU; see 30_Modules hazards</t>
  </si>
  <si>
    <t xml:space="preserve">FND-17</t>
  </si>
  <si>
    <t xml:space="preserve">Benchmark tick</t>
  </si>
  <si>
    <t xml:space="preserve">Every frame while a bench runs</t>
  </si>
  <si>
    <t xml:space="preserve">js/v2/Orchestrator.js:L721</t>
  </si>
  <si>
    <t xml:space="preserve">FND-14</t>
  </si>
  <si>
    <t xml:space="preserve">Stress level → shadow autoUpdate / sampling</t>
  </si>
  <si>
    <t xml:space="preserve">js/v2/Orchestrator.js:L737</t>
  </si>
  <si>
    <t xml:space="preserve">GPU: shadow pass every frame when OPTIMAL</t>
  </si>
  <si>
    <t xml:space="preserve">FND-16</t>
  </si>
  <si>
    <t xml:space="preserve">PiP bypass hysteresis (CRITICAL → off, OPTIMAL → on)</t>
  </si>
  <si>
    <t xml:space="preserve">js/v2/Orchestrator.js:L770</t>
  </si>
  <si>
    <t xml:space="preserve">Decision only</t>
  </si>
  <si>
    <t xml:space="preserve">FND-08</t>
  </si>
  <si>
    <t xml:space="preserve">Main render</t>
  </si>
  <si>
    <t xml:space="preserve">js/v2/Orchestrator.js:L773</t>
  </si>
  <si>
    <t xml:space="preserve">GPU: ~4.0M boot triangles</t>
  </si>
  <si>
    <t xml:space="preserve">FND-01, FND-02, FND-15</t>
  </si>
  <si>
    <t xml:space="preserve">PiP render (2nd context): FPV map stride 16 · Village View every frame · fishing every 2nd</t>
  </si>
  <si>
    <t xml:space="preserve">Variable</t>
  </si>
  <si>
    <t xml:space="preserve">js/v2/Orchestrator.js:L1392</t>
  </si>
  <si>
    <t xml:space="preserve">GPU: full scene again + MSAA; CPU: scene traversal per pass</t>
  </si>
  <si>
    <t xml:space="preserve">FND-04, FND-05, FND-06</t>
  </si>
  <si>
    <t xml:space="preserve">HUD values (+ ANU audit and governance at 2 Hz)</t>
  </si>
  <si>
    <t xml:space="preserve">Every 20 frames</t>
  </si>
  <si>
    <t xml:space="preserve">js/v2/Orchestrator.js:L783</t>
  </si>
  <si>
    <t xml:space="preserve">CPU + DOM writes</t>
  </si>
  <si>
    <t xml:space="preserve">recordFrameDuration + tickAdaptiveRenderPolicy</t>
  </si>
  <si>
    <t xml:space="preserve">js/v2/Orchestrator.js:L799</t>
  </si>
  <si>
    <t xml:space="preserve">Feeds JS-only time to governors</t>
  </si>
  <si>
    <t xml:space="preserve">FND-07</t>
  </si>
  <si>
    <t xml:space="preserve">Stress ledger sample</t>
  </si>
  <si>
    <t xml:space="preserve">Every 45 frames</t>
  </si>
  <si>
    <t xml:space="preserve">js/v2/Orchestrator.js:L808</t>
  </si>
  <si>
    <t xml:space="preserve">CPU, small</t>
  </si>
  <si>
    <t xml:space="preserve">Scene inventory walk</t>
  </si>
  <si>
    <t xml:space="preserve">Every 120 frames</t>
  </si>
  <si>
    <t xml:space="preserve">js/v2/Orchestrator.js:L819</t>
  </si>
  <si>
    <t xml:space="preserve">CPU spike: traverse + getWorldPosition per object</t>
  </si>
  <si>
    <t xml:space="preserve">FND-09</t>
  </si>
  <si>
    <t xml:space="preserve">ANU alert evaluation (inside AnuModule.update)</t>
  </si>
  <si>
    <t xml:space="preserve">Every 240 frames</t>
  </si>
  <si>
    <t xml:space="preserve">js/v2/AnuModule.js:L536</t>
  </si>
  <si>
    <t xml:space="preserve">Subsystems</t>
  </si>
  <si>
    <t xml:space="preserve">Counts are live formulas over 30_Modules</t>
  </si>
  <si>
    <t xml:space="preserve">Subsystem ID</t>
  </si>
  <si>
    <t xml:space="preserve">Assumed role (docs/comments)</t>
  </si>
  <si>
    <t xml:space="preserve">Verified reality (mechanical)</t>
  </si>
  <si>
    <t xml:space="preserve">Files (count)</t>
  </si>
  <si>
    <t xml:space="preserve">Lines of code</t>
  </si>
  <si>
    <t xml:space="preserve">Module IDs</t>
  </si>
  <si>
    <t xml:space="preserve">Plan steps</t>
  </si>
  <si>
    <t xml:space="preserve">SUB-01</t>
  </si>
  <si>
    <t xml:space="preserve">Boot &amp; entry</t>
  </si>
  <si>
    <t xml:space="preserve">Loads the page, import map, loading modal, registers and activates modules in a fixed order.</t>
  </si>
  <si>
    <t xml:space="preserve">index.html is the only live entry; index.v2.html is an older v2 build reachable from launch.html.</t>
  </si>
  <si>
    <t xml:space="preserve">MOD-001</t>
  </si>
  <si>
    <t xml:space="preserve">FND-13, FND-19</t>
  </si>
  <si>
    <t xml:space="preserve">PLN-10, PLN-15</t>
  </si>
  <si>
    <t xml:space="preserve">SUB-02</t>
  </si>
  <si>
    <t xml:space="preserve">Engine shell</t>
  </si>
  <si>
    <t xml:space="preserve">SacredOrchestrator owns renderer, scene, camera, RAF loop, module registry, HUD.</t>
  </si>
  <si>
    <t xml:space="preserve">One RAF loop calls 43 active modules in activation order, then renders main + PiP.</t>
  </si>
  <si>
    <t xml:space="preserve">MOD-059, MOD-060, MOD-061</t>
  </si>
  <si>
    <t xml:space="preserve">FND-11, FND-14, FND-16</t>
  </si>
  <si>
    <t xml:space="preserve">PLN-11, PLN-12, PLN-13</t>
  </si>
  <si>
    <t xml:space="preserve">ANU governance &amp; telemetry</t>
  </si>
  <si>
    <t xml:space="preserve">Self-observing layer: audit, governance checks, sensorium, error/stress ledger, event bus, services.</t>
  </si>
  <si>
    <t xml:space="preserve">Mostly read-on-demand diagnostics. InteractionBus has 0 live subscribers; inventory walk runs every 120 frames with no live reader.</t>
  </si>
  <si>
    <t xml:space="preserve">MOD-049, MOD-087, MOD-088, MOD-089, MOD-091, MOD-093, MOD-097, MOD-098, MOD-099, MOD-100, MOD-101, MOD-102</t>
  </si>
  <si>
    <t xml:space="preserve">FND-09, FND-10, FND-12</t>
  </si>
  <si>
    <t xml:space="preserve">PLN-08, PLN-09, PLN-12</t>
  </si>
  <si>
    <t xml:space="preserve">Render governance</t>
  </si>
  <si>
    <t xml:space="preserve">Adaptive DPR, PiP stride, shadow sampling driven by frame budget.</t>
  </si>
  <si>
    <t xml:space="preserve">Three controllers act on the same lever (PiP stride) with different thresholds; all read JS-only frame time.</t>
  </si>
  <si>
    <t xml:space="preserve">MOD-002, MOD-086, MOD-092, MOD-095, MOD-096</t>
  </si>
  <si>
    <t xml:space="preserve">FND-07, FND-08</t>
  </si>
  <si>
    <t xml:space="preserve">PLN-07</t>
  </si>
  <si>
    <t xml:space="preserve">PiP minimap &amp; compass</t>
  </si>
  <si>
    <t xml:space="preserve">Picture-in-picture map / FPV view with compass dial.</t>
  </si>
  <si>
    <t xml:space="preserve">Second WebGL context on desktop; full scene re-render; every frame in Village View.</t>
  </si>
  <si>
    <t xml:space="preserve">MOD-064, MOD-094, MOD-106</t>
  </si>
  <si>
    <t xml:space="preserve">FND-04, FND-05, FND-06, FND-21, FND-22, FND-25, FND-26, FND-31</t>
  </si>
  <si>
    <t xml:space="preserve">PLN-05, PLN-06, PLN-16, PLN-18, PLN-19</t>
  </si>
  <si>
    <t xml:space="preserve">World environment</t>
  </si>
  <si>
    <t xml:space="preserve">Ground, sky, day/night, weather, ambient audio, pool, dock, circles, pond flora.</t>
  </si>
  <si>
    <t xml:space="preserve">Pool and ground are procedural; pond flora is instanced (tree 18, bush 24, reeds 14).</t>
  </si>
  <si>
    <t xml:space="preserve">MOD-010, MOD-014, MOD-018, MOD-019, MOD-027, MOD-028, MOD-034, MOD-035, MOD-036, MOD-037, MOD-044</t>
  </si>
  <si>
    <t xml:space="preserve">Fauna</t>
  </si>
  <si>
    <t xml:space="preserve">Fish, fish jumps, frogs, butterflies, dragonfly, nature awareness.</t>
  </si>
  <si>
    <t xml:space="preserve">18 trout at 23,466 tris each as separate meshes; small fish instanced (32).</t>
  </si>
  <si>
    <t xml:space="preserve">MOD-013, MOD-020, MOD-021, MOD-022, MOD-026, MOD-090</t>
  </si>
  <si>
    <t xml:space="preserve">FND-15, FND-30</t>
  </si>
  <si>
    <t xml:space="preserve">PLN-04, PLN-16</t>
  </si>
  <si>
    <t xml:space="preserve">Player</t>
  </si>
  <si>
    <t xml:space="preserve">Avatar, click-to-move, keyboard look, zoom, cursor, footsteps, WorldPlayer shim.</t>
  </si>
  <si>
    <t xml:space="preserve">Loads Avatar-New.glb (246k tris, 2×4096² maps) by default; Avatar3 only with ?avatar=old.</t>
  </si>
  <si>
    <t xml:space="preserve">MOD-011, MOD-015, MOD-017, MOD-031, MOD-041, MOD-043, MOD-046, MOD-048</t>
  </si>
  <si>
    <t xml:space="preserve">FND-17, FND-29</t>
  </si>
  <si>
    <t xml:space="preserve">PLN-14, PLN-20</t>
  </si>
  <si>
    <t xml:space="preserve">Population (NPCs)</t>
  </si>
  <si>
    <t xml:space="preserve">Seated NPCs at tipis: Yellow Butterfly, BHG, REG.</t>
  </si>
  <si>
    <t xml:space="preserve">Ambient only; REG is 1.94M tris on desktop and skipped on mobile.</t>
  </si>
  <si>
    <t xml:space="preserve">MOD-038, MOD-058</t>
  </si>
  <si>
    <t xml:space="preserve">FND-01</t>
  </si>
  <si>
    <t xml:space="preserve">PLN-01</t>
  </si>
  <si>
    <t xml:space="preserve">Structures &amp; village building</t>
  </si>
  <si>
    <t xml:space="preserve">Tipis, braziers, village pad, mold tools, tool palette, building panel, map generator.</t>
  </si>
  <si>
    <t xml:space="preserve">Mold tools place flora/hills/rocks/tipis; building panel is list-only; 3 tipi clones of a 246k-tri model.</t>
  </si>
  <si>
    <t xml:space="preserve">MOD-003, MOD-004, MOD-005, MOD-006, MOD-007, MOD-008, MOD-009, MOD-012, MOD-032, MOD-033, MOD-039, MOD-040, MOD-042, MOD-051, MOD-062, MOD-084</t>
  </si>
  <si>
    <t xml:space="preserve">FND-02, FND-24</t>
  </si>
  <si>
    <t xml:space="preserve">PLN-02, PLN-18</t>
  </si>
  <si>
    <t xml:space="preserve">Fishing</t>
  </si>
  <si>
    <t xml:space="preserve">Cast, bite turns, reel, catch, gauge, PiP gauge close-up.</t>
  </si>
  <si>
    <t xml:space="preserve">Largest module (2,991 lines, 981-line update). Transmission material on the gauge adds a pass while fishing.</t>
  </si>
  <si>
    <t xml:space="preserve">FND-18, FND-28</t>
  </si>
  <si>
    <t xml:space="preserve">PLN-14, PLN-16</t>
  </si>
  <si>
    <t xml:space="preserve">Items &amp; save</t>
  </si>
  <si>
    <t xml:space="preserve">Harvest inventory and SAVE/RESET of world mutations.</t>
  </si>
  <si>
    <t xml:space="preserve">localStorage key v4.sanctuary.save; spec key sacredAdventures_saveState not implemented.</t>
  </si>
  <si>
    <t xml:space="preserve">MOD-016, MOD-029</t>
  </si>
  <si>
    <t xml:space="preserve">UI shell &amp; journal</t>
  </si>
  <si>
    <t xml:space="preserve">Panel and journal iframes, welcome guide, controls bar, HUD.</t>
  </si>
  <si>
    <t xml:space="preserve">postMessage bridge; HUD runs audit + governance at 2 Hz.</t>
  </si>
  <si>
    <t xml:space="preserve">MOD-030, MOD-045</t>
  </si>
  <si>
    <t xml:space="preserve">FND-23</t>
  </si>
  <si>
    <t xml:space="preserve">PLN-17</t>
  </si>
  <si>
    <t xml:space="preserve">SUB-14</t>
  </si>
  <si>
    <t xml:space="preserve">Asset pipeline</t>
  </si>
  <si>
    <t xml:space="preserve">Draco loader, mobile GLB swap, compression scripts.</t>
  </si>
  <si>
    <t xml:space="preserve">Mobile swap set does not include the tipi URL the live game loads.</t>
  </si>
  <si>
    <t xml:space="preserve">MOD-104</t>
  </si>
  <si>
    <t xml:space="preserve">FND-03, FND-20</t>
  </si>
  <si>
    <t xml:space="preserve">PLN-03, PLN-14</t>
  </si>
  <si>
    <t xml:space="preserve">SUB-15</t>
  </si>
  <si>
    <t xml:space="preserve">Shared config &amp; helpers</t>
  </si>
  <si>
    <t xml:space="preserve">constants, maps registry, terrain/platform helpers, compass math.</t>
  </si>
  <si>
    <t xml:space="preserve">constants.js is imported by most modules; v2 helper files are imported for single functions.</t>
  </si>
  <si>
    <t xml:space="preserve">MOD-057, MOD-074, MOD-080, MOD-082, MOD-083, MOD-103</t>
  </si>
  <si>
    <t xml:space="preserve">FND-27</t>
  </si>
  <si>
    <t xml:space="preserve">PLN-18</t>
  </si>
  <si>
    <t xml:space="preserve">SUB-16</t>
  </si>
  <si>
    <t xml:space="preserve">Legacy / unused code</t>
  </si>
  <si>
    <t xml:space="preserve">v2 world modules and sanctuary leftovers.</t>
  </si>
  <si>
    <t xml:space="preserve">20 files only reachable from index.v2.html; 8 files reachable from no entry page.</t>
  </si>
  <si>
    <t xml:space="preserve">MOD-024, MOD-025, MOD-047, MOD-050, MOD-052, MOD-053, MOD-054, MOD-055, MOD-056, MOD-063, MOD-065, MOD-066, MOD-067, MOD-068, MOD-069, MOD-070, MOD-071, MOD-072, MOD-073, MOD-075, MOD-076, MOD-077, MOD-078, MOD-079, MOD-081, MOD-085, MOD-105, MOD-107</t>
  </si>
  <si>
    <t xml:space="preserve">Modules</t>
  </si>
  <si>
    <t xml:space="preserve">107 files under js/sanctuary, js/v2, js/v2/anu + BuildBadge · generated by extract.py</t>
  </si>
  <si>
    <t xml:space="preserve">Status (verified)</t>
  </si>
  <si>
    <t xml:space="preserve">Activation order</t>
  </si>
  <si>
    <t xml:space="preserve">ANU domain (claimed)</t>
  </si>
  <si>
    <t xml:space="preserve">Assumed purpose (header comment — treat as stale)</t>
  </si>
  <si>
    <t xml:space="preserve">Verified behaviour (mechanical)</t>
  </si>
  <si>
    <t xml:space="preserve">Imports (MOD IDs)</t>
  </si>
  <si>
    <t xml:space="preserve">Imported by (MOD IDs)</t>
  </si>
  <si>
    <t xml:space="preserve">Globals written</t>
  </si>
  <si>
    <t xml:space="preserve">Globals read</t>
  </si>
  <si>
    <t xml:space="preserve">ANU events dispatched</t>
  </si>
  <si>
    <t xml:space="preserve">ANU events subscribed</t>
  </si>
  <si>
    <t xml:space="preserve">Runtime services</t>
  </si>
  <si>
    <t xml:space="preserve">postMessage / DOM events sent</t>
  </si>
  <si>
    <t xml:space="preserve">Assets referenced</t>
  </si>
  <si>
    <t xml:space="preserve">Also in v2 build</t>
  </si>
  <si>
    <t xml:space="preserve">Commits touching file</t>
  </si>
  <si>
    <t xml:space="preserve">Last commit</t>
  </si>
  <si>
    <t xml:space="preserve">Lines</t>
  </si>
  <si>
    <t xml:space="preserve">js/BuildBadge.js</t>
  </si>
  <si>
    <t xml:space="preserve">Imported library (no module lifecycle)</t>
  </si>
  <si>
    <t xml:space="preserve">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</si>
  <si>
    <t xml:space="preserve">179 lines, 7.4 KB. No update().</t>
  </si>
  <si>
    <t xml:space="preserve">2026-05-29 feat(pipeline): build-signature badge — show which AI's build is live</t>
  </si>
  <si>
    <t xml:space="preserve">Active</t>
  </si>
  <si>
    <t xml:space="preserve">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</si>
  <si>
    <t xml:space="preserve">285 lines, 11.5 KB. update() at L225 (50 lines).</t>
  </si>
  <si>
    <t xml:space="preserve">MOD-092, MOD-093, MOD-096, MOD-098, MOD-100</t>
  </si>
  <si>
    <t xml:space="preserve">AnuUniverse; devicePixelRatio; innerHeight; innerWidth</t>
  </si>
  <si>
    <t xml:space="preserve">RENDERING_DPR_CHANGE</t>
  </si>
  <si>
    <t xml:space="preserve">2026-06-01 fix(mobile): stop iOS OOM crash ("Can't open this page") — cap texture memory</t>
  </si>
  <si>
    <t xml:space="preserve">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</si>
  <si>
    <t xml:space="preserve">130 lines, 4.8 KB. update() at L121 (0 lines).</t>
  </si>
  <si>
    <t xml:space="preserve">MOD-027, MOD-098</t>
  </si>
  <si>
    <t xml:space="preserve">2026-05-19 feat(full-session): fishing overhaul, FPS fix, dock elevation, clean world, sanctuary v2</t>
  </si>
  <si>
    <t xml:space="preserve">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</si>
  <si>
    <t xml:space="preserve">156 lines, 5.0 KB. update() at L152 (0 lines).</t>
  </si>
  <si>
    <t xml:space="preserve">Mold tool — PLANT BUSH. Each kid-placed bush is a small clump of 3-5 overlapping low-poly spheres painted leafy green with slight per-lump hue variation. Optional berry dots randomly added so some bushes carry colour. ~80 tris/bush.</t>
  </si>
  <si>
    <t xml:space="preserve">142 lines, 4.3 KB. update() at L138 (0 lines).</t>
  </si>
  <si>
    <t xml:space="preserve">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</si>
  <si>
    <t xml:space="preserve">120 lines, 4.0 KB. update() at L116 (0 lines).</t>
  </si>
  <si>
    <t xml:space="preserve">ENVIRONMENT</t>
  </si>
  <si>
    <t xml:space="preserve">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</si>
  <si>
    <t xml:space="preserve">135 lines, 4.1 KB. update() at L131 (0 lines).</t>
  </si>
  <si>
    <t xml:space="preserve">SanctuaryMutations; __sanctuaryWaterY; sanctuaryPulse</t>
  </si>
  <si>
    <t xml:space="preserve">Mold tool — PLANT ROCK. Drops a small cluster of stones at the click point — 2-4 low-poly icosahedra in slate-grey tones, varied scale + yaw so each pile reads unique. ~40 tris per pile.</t>
  </si>
  <si>
    <t xml:space="preserve">92 lines, 2.8 KB. update() at L88 (0 lines).</t>
  </si>
  <si>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</si>
  <si>
    <t xml:space="preserve">129 lines, 4.3 KB. update() at L125 (0 lines).</t>
  </si>
  <si>
    <t xml:space="preserve">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</si>
  <si>
    <t xml:space="preserve">254 lines, 8.5 KB. update() at L219 (12 lines). Writes 1 globals.</t>
  </si>
  <si>
    <t xml:space="preserve">MOD-098</t>
  </si>
  <si>
    <t xml:space="preserve">__sanctuaryMuted</t>
  </si>
  <si>
    <t xml:space="preserve">AudioContext; __sanctuaryAvatar; addEventListener; removeEventListener; webkitAudioContext</t>
  </si>
  <si>
    <t xml:space="preserve">2026-05-29 feat(sanctuary): center-screen responsive welcome guide, organic shore, and mossy boulders</t>
  </si>
  <si>
    <t xml:space="preserve">PLAYER</t>
  </si>
  <si>
    <t xml:space="preserve">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</si>
  <si>
    <t xml:space="preserve">729 lines, 30.4 KB. update() at L558 (147 lines). Per-frame hazards: alloc_three×4, matrix_update×4. Writes 2 globals.</t>
  </si>
  <si>
    <t xml:space="preserve">MOD-027, MOD-041, MOD-098, MOD-103, MOD-104</t>
  </si>
  <si>
    <t xml:space="preserve">__sanctuaryAvatar; __sanctuaryPlayerYaw</t>
  </si>
  <si>
    <t xml:space="preserve">__sanctuaryDockSurface; __sanctuaryFishingActive; __sanctuaryWaterY; localStorage; location</t>
  </si>
  <si>
    <t xml:space="preserve">Assets/Avatar3.glb; Assets/npc/Avatar-New.glb</t>
  </si>
  <si>
    <t xml:space="preserve">2026-05-30 feat(fishing): two-handed hand-line to left hand + calm the rod motion</t>
  </si>
  <si>
    <t xml:space="preserve">STRUCTURES</t>
  </si>
  <si>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</si>
  <si>
    <t xml:space="preserve">400 lines, 13.4 KB. update() at L335 (46 lines). Writes 1 globals.</t>
  </si>
  <si>
    <t xml:space="preserve">__regenerateBraziers</t>
  </si>
  <si>
    <t xml:space="preserve">__sanctuaryMapType; __sanctuaryTipi1Anchor; __sanctuaryTipi1Yaw; __sanctuaryTipi2Anchor; __sanctuaryTipi2Yaw; __sanctuaryTipi3Anchor; __sanctuaryTipi3Yaw; __sanctuaryTipi4Anchor; __sanctuaryTipi4Yaw; addEventListener; removeEventListener</t>
  </si>
  <si>
    <t xml:space="preserve">FAUNA</t>
  </si>
  <si>
    <t xml:space="preserve">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</si>
  <si>
    <t xml:space="preserve">436 lines, 15.5 KB. update() at L322 (98 lines).</t>
  </si>
  <si>
    <t xml:space="preserve">MOD-027, MOD-092, MOD-098</t>
  </si>
  <si>
    <t xml:space="preserve">__sanctuaryTipi1Anchor</t>
  </si>
  <si>
    <t xml:space="preserve">2026-05-26 feat(perf): prioritize pipeline traffic via adaptive shadow scheduling and dynamic stride sampling for lesser priorities under stress</t>
  </si>
  <si>
    <t xml:space="preserve">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</si>
  <si>
    <t xml:space="preserve">303 lines, 11.0 KB. update() at L234 (48 lines). Writes 1 globals.</t>
  </si>
  <si>
    <t xml:space="preserve">sanctuaryPulse</t>
  </si>
  <si>
    <t xml:space="preserve">__sanctuaryFishingSpot; __sanctuaryWaterY</t>
  </si>
  <si>
    <t xml:space="preserve">2026-05-29 Revert "feat(pool): elliptical diagonal pool stretched 2x NE + blue fishing spot circle"</t>
  </si>
  <si>
    <t xml:space="preserve">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</si>
  <si>
    <t xml:space="preserve">558 lines, 21.3 KB. update() at L412 (72 lines). Writes 4 globals.</t>
  </si>
  <si>
    <t xml:space="preserve">__sanctuaryPlayerYaw; _v4CancelClickToMove; _v4SmartWalkTo; _v4WalkTo</t>
  </si>
  <si>
    <t xml:space="preserve">SanctuaryMutations; __sanctuaryAvatar; __sanctuaryDockExtents; __sanctuaryDockSurface; __sanctuaryMoldTool; _v2InputSuppressed</t>
  </si>
  <si>
    <t xml:space="preserve">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</si>
  <si>
    <t xml:space="preserve">373 lines, 13.8 KB. update() at L357 (0 lines). Writes 2 globals.</t>
  </si>
  <si>
    <t xml:space="preserve">MOD-093, MOD-098, MOD-100</t>
  </si>
  <si>
    <t xml:space="preserve">__sanctuaryMoldTool; _v4ToggleTopDown</t>
  </si>
  <si>
    <t xml:space="preserve">SanctuaryMutations; __sanctuaryTopDownHeight; _v4ToggleJournal; _v4TogglePanel; localStorage</t>
  </si>
  <si>
    <t xml:space="preserve">SANCTUARY_WORLD_STATE</t>
  </si>
  <si>
    <t xml:space="preserve">2026-05-28 refactor(pip): remove SVG moondial iframe, render top-down PIP canvas in wrapper</t>
  </si>
  <si>
    <t xml:space="preserve">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</si>
  <si>
    <t xml:space="preserve">127 lines, 3.9 KB. update() at L100 (14 lines). Per-frame hazards: dom_write×1.</t>
  </si>
  <si>
    <t xml:space="preserve">__sanctuaryMoldTool; addEventListener; removeEventListener</t>
  </si>
  <si>
    <t xml:space="preserve">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</si>
  <si>
    <t xml:space="preserve">181 lines, 6.0 KB. update() at L157 (11 lines).</t>
  </si>
  <si>
    <t xml:space="preserve">SEASON_CHANGE</t>
  </si>
  <si>
    <t xml:space="preserve">2026-05-26 feat(pip): add branches back to pip and bump sw cache to v24</t>
  </si>
  <si>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</si>
  <si>
    <t xml:space="preserve">504 lines, 21.4 KB. update() at L483 (2 lines). Writes 4 globals.</t>
  </si>
  <si>
    <t xml:space="preserve">__regenerateDock; __sanctuaryDockExtents; __sanctuaryDockSurface; __sanctuaryFishingSpot</t>
  </si>
  <si>
    <t xml:space="preserve">__sanctuaryMapType</t>
  </si>
  <si>
    <t xml:space="preserve">2026-06-01 feat(dock): photoreal procedural wood grain + bump on planks, rails, and support logs</t>
  </si>
  <si>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</si>
  <si>
    <t xml:space="preserve">301 lines, 9.7 KB. update() at L240 (44 lines). Writes 1 globals.</t>
  </si>
  <si>
    <t xml:space="preserve">__sanctuaryDragonflies</t>
  </si>
  <si>
    <t xml:space="preserve">Sacred Adventures — sanctuary part 4 of 5: THE FISH. Loads `Assets/Fish/fish.obj` (same trout mesh as v2 Pool2), bakes the 3DS Max Z-up export upright, and swims with velocity-based orbital physics: head leads the path, body wiggles on yaw, gentle depth bob.</t>
  </si>
  <si>
    <t xml:space="preserve">1730 lines, 70.7 KB. update() at L699 (898 lines). Per-frame hazards: traverse×2, alloc_three×7, dom_write×1. Writes 5 globals.</t>
  </si>
  <si>
    <t xml:space="preserve">__sanctuaryFishCount; __sanctuaryFishSchool; __sanctuaryFishTemplate; __sanctuaryFrogOnLily; __sanctuarySpawnBabyFish</t>
  </si>
  <si>
    <t xml:space="preserve">AudioContext; __interestedFish; __sanctuaryAvatar; __sanctuaryBobberPos; __sanctuaryDragonflies; __sanctuaryFishingSpawnRipple; __sanctuaryFrogs; __sanctuaryWaterY; anuOrchestrator; sanctuaryPulse; showWoWCombatText; webkitAudioContext</t>
  </si>
  <si>
    <t xml:space="preserve">2026-05-29 feat(sanctuary): overhaul sacred pool depth, schooling small fish, funny real-fish eat-jumps, and freeze PIP animations</t>
  </si>
  <si>
    <t xml:space="preserve">FND-15</t>
  </si>
  <si>
    <t xml:space="preserve">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</si>
  <si>
    <t xml:space="preserve">197 lines, 6.5 KB. update() at L179 (4 lines).</t>
  </si>
  <si>
    <t xml:space="preserve">__sanctuaryFishSchool; __sanctuaryFishTemplate; __sanctuaryWaterY; sanctuaryPulse</t>
  </si>
  <si>
    <t xml:space="preserve">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</si>
  <si>
    <t xml:space="preserve">2997 lines, 122.2 KB. update() at L1641 (981 lines). Per-frame hazards: traverse×3, alloc_three×2, matrix_update×4. Writes 11 globals.</t>
  </si>
  <si>
    <t xml:space="preserve">MOD-027, MOD-098, MOD-099, MOD-103</t>
  </si>
  <si>
    <t xml:space="preserve">__interestedFish; __sanctuaryBobberPos; __sanctuaryFishCount; __sanctuaryFishingActive; __sanctuaryFishingSpawnRipple; __sanctuaryHasFishCaught; __sanctuaryPlayerYaw; _v2InputSuppressed; _v4InputSuppressed; _v4StartFishing; sanctuaryFishingFocus</t>
  </si>
  <si>
    <t xml:space="preserve">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</si>
  <si>
    <t xml:space="preserve">2026-05-31 refactor(pip): rename 'moondial' -&gt; 'pip-compass' (it is a compass, not a moondial)</t>
  </si>
  <si>
    <t xml:space="preserve">FND-18, FND-28, FND-30</t>
  </si>
  <si>
    <t xml:space="preserve">MOD-024</t>
  </si>
  <si>
    <t xml:space="preserve">js/sanctuary/SanctuaryFlora.js</t>
  </si>
  <si>
    <t xml:space="preserve">SanctuaryFlora</t>
  </si>
  <si>
    <t xml:space="preserve">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</si>
  <si>
    <t xml:space="preserve">571 lines, 19.1 KB. update() at L528 (3 lines). Writes 1 globals.</t>
  </si>
  <si>
    <t xml:space="preserve">__sanctuaryFloraTimeUniform</t>
  </si>
  <si>
    <t xml:space="preserve">MOD-025</t>
  </si>
  <si>
    <t xml:space="preserve">js/sanctuary/SanctuaryFpsHud.js</t>
  </si>
  <si>
    <t xml:space="preserve">SanctuaryFpsHud</t>
  </si>
  <si>
    <t xml:space="preserve">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</si>
  <si>
    <t xml:space="preserve">104 lines, 4.0 KB. No update(). Writes 1 globals.</t>
  </si>
  <si>
    <t xml:space="preserve">__sanctuaryTreesHidden</t>
  </si>
  <si>
    <t xml:space="preserve">2026-05-27 fix(hud,anu): unify FPS source on orc.smoothFPS + make .report() return real snapshots</t>
  </si>
  <si>
    <t xml:space="preserve">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</si>
  <si>
    <t xml:space="preserve">1120 lines, 41.5 KB. update() at L645 (281 lines). Writes 3 globals.</t>
  </si>
  <si>
    <t xml:space="preserve">MOD-027, MOD-092</t>
  </si>
  <si>
    <t xml:space="preserve">__sanctuaryFrogOnLily; __sanctuaryFrogs; __sanctuaryFrogsRegenerate</t>
  </si>
  <si>
    <t xml:space="preserve">WorldPlayer; __sanctuaryBobberPos; __sanctuaryDragonflies; __sanctuaryFishSchool; __sanctuaryLilyPads; sanctuaryPulse</t>
  </si>
  <si>
    <t xml:space="preserve">2026-06-02 feat(pool): clearer water reveals the deep basin + 10 bigger frogs</t>
  </si>
  <si>
    <t xml:space="preserve">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</si>
  <si>
    <t xml:space="preserve">833 lines, 31.3 KB. update() at L801 (5 lines).</t>
  </si>
  <si>
    <t xml:space="preserve">MOD-036, MOD-098</t>
  </si>
  <si>
    <t xml:space="preserve">MOD-003, MOD-004, MOD-005, MOD-006, MOD-007, MOD-008, MOD-009, MOD-011, MOD-012, MOD-013, MOD-014, MOD-015, MOD-019, MOD-020, MOD-021, MOD-022, MOD-023, MOD-024, MOD-026, MOD-028, MOD-031, MOD-034, MOD-035, MOD-039, MOD-042, MOD-043, MOD-047</t>
  </si>
  <si>
    <t xml:space="preserve">__sanctuaryDockSurface; __sanctuaryWaterY</t>
  </si>
  <si>
    <t xml:space="preserve">Assets/landscape-scenes/terrain/grass-seamless.png</t>
  </si>
  <si>
    <t xml:space="preserve">2026-05-30 feat(sanctuary): strong pronounced neumorphic hex tiles for village-view planning</t>
  </si>
  <si>
    <t xml:space="preserve">SanctuaryHexGrid</t>
  </si>
  <si>
    <t xml:space="preserve">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</si>
  <si>
    <t xml:space="preserve">153 lines, 5.4 KB. update() at L139 (0 lines).</t>
  </si>
  <si>
    <t xml:space="preserve">2026-05-29 feat(fishing): soften rod struggle sways, and integrate Claude's gold hex grid overlay module</t>
  </si>
  <si>
    <t xml:space="preserve">ITEMS</t>
  </si>
  <si>
    <t xml:space="preserve">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</si>
  <si>
    <t xml:space="preserve">238 lines, 8.7 KB. update() at L216 (0 lines). Writes 2 globals.</t>
  </si>
  <si>
    <t xml:space="preserve">sanctuaryGrant; sanctuaryInventory</t>
  </si>
  <si>
    <t xml:space="preserve">ITEM_EVENT</t>
  </si>
  <si>
    <t xml:space="preserve">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</si>
  <si>
    <t xml:space="preserve">172 lines, 6.7 KB. No update(). Writes 1 globals.</t>
  </si>
  <si>
    <t xml:space="preserve">MOD-093, MOD-098</t>
  </si>
  <si>
    <t xml:space="preserve">sanctuaryJournalBridge</t>
  </si>
  <si>
    <t xml:space="preserve">AnuUniverse; addEventListener; anuOrchestrator; clearInterval; removeEventListener; setInterval</t>
  </si>
  <si>
    <t xml:space="preserve">2026-05-25 feat+perf: journal↔Anu bridge + Help button + Welcome Prev + de-spring + kill 20+ backdrop-filters</t>
  </si>
  <si>
    <t xml:space="preserve">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</si>
  <si>
    <t xml:space="preserve">294 lines, 11.9 KB. update() at L112 (170 lines). Per-frame hazards: alloc_three×2, dom_query×1. Writes 1 globals.</t>
  </si>
  <si>
    <t xml:space="preserve">MOD-015, MOD-027</t>
  </si>
  <si>
    <t xml:space="preserve">__sanctuaryPlayerYaw</t>
  </si>
  <si>
    <t xml:space="preserve">__sanctuaryAvatar; __sanctuaryJoystickInput; __sanctuaryZoomFactor; _v4CancelClickToMove; _v4InputSuppressed; addEventListener; removeEventListener</t>
  </si>
  <si>
    <t xml:space="preserve">2026-05-28 fix(fishing,avatar,travel): gauge stays in PIP at low opacity + half-submerged swim + 40mm decal clearance</t>
  </si>
  <si>
    <t xml:space="preserve">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</si>
  <si>
    <t xml:space="preserve">17 lines, 0.5 KB. update() at L14 (0 lines).</t>
  </si>
  <si>
    <t xml:space="preserve">2026-05-26 refactor: promote index.v4.html → index.html as canonical entry point</t>
  </si>
  <si>
    <t xml:space="preserve">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</si>
  <si>
    <t xml:space="preserve">169 lines, 5.2 KB. update() at L157 (0 lines). Writes 1 globals.</t>
  </si>
  <si>
    <t xml:space="preserve">localStorage</t>
  </si>
  <si>
    <t xml:space="preserve">SANCTUARY_MOLD</t>
  </si>
  <si>
    <t xml:space="preserve">FLORA</t>
  </si>
  <si>
    <t xml:space="preserve">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</si>
  <si>
    <t xml:space="preserve">354 lines, 14.1 KB. update() at L335 (8 lines).</t>
  </si>
  <si>
    <t xml:space="preserve">MOD-027, MOD-104</t>
  </si>
  <si>
    <t xml:space="preserve">Assets/bush.glb; Assets/flora/reeds.glb; Assets/tree.glb</t>
  </si>
  <si>
    <t xml:space="preserve">2026-05-30 perf(scene): cull far flora + raise PIP stride + tree frustum-cull/leaf-shadow</t>
  </si>
  <si>
    <t xml:space="preserve">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</si>
  <si>
    <t xml:space="preserve">2119 lines, 84.7 KB. update() at L2000 (90 lines). Writes 2 globals.</t>
  </si>
  <si>
    <t xml:space="preserve">MOD-027, MOD-036, MOD-092, MOD-098</t>
  </si>
  <si>
    <t xml:space="preserve">__sanctuaryLilyPads; __sanctuaryWaterY</t>
  </si>
  <si>
    <t xml:space="preserve">Assets/landscape-scenes/terrain/rock.png</t>
  </si>
  <si>
    <t xml:space="preserve">FND-30</t>
  </si>
  <si>
    <t xml:space="preserve">MOD-036</t>
  </si>
  <si>
    <t xml:space="preserve">js/sanctuary/SanctuarySceneConstructor.js</t>
  </si>
  <si>
    <t xml:space="preserve">SanctuarySceneConstructor.js A lightweight asset loading and compiling performance wrapper. Ensures that all texture loads and shader compilations are telemetry-asserted to monitor their impact on our strict 120 FPS budget (8.33ms).</t>
  </si>
  <si>
    <t xml:space="preserve">53 lines, 1.5 KB. No update().</t>
  </si>
  <si>
    <t xml:space="preserve">MOD-027, MOD-035</t>
  </si>
  <si>
    <t xml:space="preserve">2026-05-26 okay -- its trying to fix fps panel and sucking at it</t>
  </si>
  <si>
    <t xml:space="preserve">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</si>
  <si>
    <t xml:space="preserve">312 lines, 11.0 KB. update() at L249 (48 lines).</t>
  </si>
  <si>
    <t xml:space="preserve">__sanctuaryAvatar</t>
  </si>
  <si>
    <t xml:space="preserve">Sacred Adventures — sanctuary seated NPCs (v2 1:1). Yellow Butterfly @ Tipi 1, BHG @ Tipi 2 — same scale, seat offsets, photoreal gold/wood travel discs, and facing arrows as v2 World.</t>
  </si>
  <si>
    <t xml:space="preserve">367 lines, 13.2 KB. update() at L304 (42 lines). Writes 1 globals.</t>
  </si>
  <si>
    <t xml:space="preserve">MOD-082, MOD-098, MOD-099, MOD-103, MOD-104</t>
  </si>
  <si>
    <t xml:space="preserve">__regenerateTipiNpcs</t>
  </si>
  <si>
    <t xml:space="preserve">__sanctuaryAvatar; __sanctuaryMapType; __sanctuaryTipi1Anchor; __sanctuaryTipi1PlatMesh; __sanctuaryTipi1Yaw; __sanctuaryTipi2Anchor; __sanctuaryTipi2PlatMesh; __sanctuaryTipi2Yaw; __sanctuaryTipi4Anchor; __sanctuaryTipi4PlatMesh; __sanctuaryTipi4Yaw</t>
  </si>
  <si>
    <t xml:space="preserve">Assets/NPC.BHG.glb; Assets/NPC.REG.lite.glb; Assets/NPC.YB.glb</t>
  </si>
  <si>
    <t xml:space="preserve">2026-06-01 fix(mobile): cut scene geometry ~half — skip NPC.REG + decimated GLB variants</t>
  </si>
  <si>
    <t xml:space="preserve">FND-01, FND-03</t>
  </si>
  <si>
    <t xml:space="preserve">Sacred Adventures — sanctuary: v2 tipis (1:1 structures). Loads the same yellow-butterfly GLB, sacred wooden platforms, 7.2 m scale, and BHG stripe shader as `js/v2/WorldStructures.js` — placed at v2 village coordinates so they sit beside the sanctuary pool at (0,0).</t>
  </si>
  <si>
    <t xml:space="preserve">558 lines, 20.5 KB. update() at L495 (0 lines). Writes 18 globals.</t>
  </si>
  <si>
    <t xml:space="preserve">MOD-027, MOD-080, MOD-082, MOD-098, MOD-103, MOD-104</t>
  </si>
  <si>
    <t xml:space="preserve">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</si>
  <si>
    <t xml:space="preserve">Assets/Tipi.yellowbutterfly/tipi.yellowbutterfly.lite.glb</t>
  </si>
  <si>
    <t xml:space="preserve">FND-02</t>
  </si>
  <si>
    <t xml:space="preserve">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</si>
  <si>
    <t xml:space="preserve">521 lines, 17.7 KB. update() at L506 (0 lines). Writes 2 globals.</t>
  </si>
  <si>
    <t xml:space="preserve">__sanctuaryMapType; __sanctuaryMoldTool</t>
  </si>
  <si>
    <t xml:space="preserve">SanctuaryGround; SanctuaryMutations; __regenerateBraziers; __regenerateDock; __regeneratePoolObjects; __regenerateTerrain; __regenerateTipiNpcs; __regenerateTipis</t>
  </si>
  <si>
    <t xml:space="preserve">2026-06-01 feat(mobile): village build panel → neumorphic bottom sheet + de-dupe map</t>
  </si>
  <si>
    <t xml:space="preserve">FND-24</t>
  </si>
  <si>
    <t xml:space="preserve">MOD-041</t>
  </si>
  <si>
    <t xml:space="preserve">js/sanctuary/SanctuaryTravelDisc.js</t>
  </si>
  <si>
    <t xml:space="preserve">v2 photoreal travel disc + ring + facing arrow (legacy `TravelFloorCircleMaterials.js`). Replaces the May-18 canvas-baked decals that read flat/cheap compared to the main game's gold-green shader circles.</t>
  </si>
  <si>
    <t xml:space="preserve">206 lines, 8.6 KB. No update().</t>
  </si>
  <si>
    <t xml:space="preserve">MOD-098, MOD-099, MOD-103</t>
  </si>
  <si>
    <t xml:space="preserve">2026-05-28 fix(avatar,decals): player disc body renderOrder 8 -&gt; 18 + depthTest:false so it paints over dock</t>
  </si>
  <si>
    <t xml:space="preserve">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</si>
  <si>
    <t xml:space="preserve">204 lines, 7.4 KB. update() at L184 (5 lines). Writes 1 globals.</t>
  </si>
  <si>
    <t xml:space="preserve">__sanctuaryVillagePad</t>
  </si>
  <si>
    <t xml:space="preserve">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</si>
  <si>
    <t xml:space="preserve">115 lines, 3.4 KB. update() at L57 (26 lines).</t>
  </si>
  <si>
    <t xml:space="preserve">__sanctuaryAvatar; __sanctuaryMuted</t>
  </si>
  <si>
    <t xml:space="preserve">Assets/sounds/avatar-walking.mp3; Assets/sounds/water-walking.mp3</t>
  </si>
  <si>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</si>
  <si>
    <t xml:space="preserve">209 lines, 7.1 KB. update() at L146 (44 lines).</t>
  </si>
  <si>
    <t xml:space="preserve">__sanctuaryAvatar; dispatchEvent</t>
  </si>
  <si>
    <t xml:space="preserve">dom:anu:weather-change</t>
  </si>
  <si>
    <t xml:space="preserve">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</si>
  <si>
    <t xml:space="preserve">465 lines, 15.9 KB. No update(). Writes 1 globals.</t>
  </si>
  <si>
    <t xml:space="preserve">sanctuaryWelcome</t>
  </si>
  <si>
    <t xml:space="preserve">addEventListener; setTimeout</t>
  </si>
  <si>
    <t xml:space="preserve">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</si>
  <si>
    <t xml:space="preserve">86 lines, 2.7 KB. update() at L69 (5 lines). Writes 2 globals.</t>
  </si>
  <si>
    <t xml:space="preserve">MOD-061</t>
  </si>
  <si>
    <t xml:space="preserve">WorldPhysics; WorldPlayer</t>
  </si>
  <si>
    <t xml:space="preserve">WorldPlayer; uses:WorldPlayer</t>
  </si>
  <si>
    <t xml:space="preserve">2026-05-24 Fix compass PIP letters rightside up and register Antigravity in Anu governance</t>
  </si>
  <si>
    <t xml:space="preserve">MOD-047</t>
  </si>
  <si>
    <t xml:space="preserve">js/sanctuary/SanctuaryWorldTemplate.js</t>
  </si>
  <si>
    <t xml:space="preserve">MyKidWorld</t>
  </si>
  <si>
    <t xml:space="preserve">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</si>
  <si>
    <t xml:space="preserve">243 lines, 10.7 KB. update() at L205 (8 lines).</t>
  </si>
  <si>
    <t xml:space="preserve">MOD-027, MOD-093, MOD-098, MOD-100</t>
  </si>
  <si>
    <t xml:space="preserve">SanctuaryMutations; anuOrchestrator; postMessage</t>
  </si>
  <si>
    <t xml:space="preserve">SOMETHING</t>
  </si>
  <si>
    <t xml:space="preserve">MY_KID_WORLD_HELLO; YOUR_EVENT</t>
  </si>
  <si>
    <t xml:space="preserve">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</si>
  <si>
    <t xml:space="preserve">109 lines, 3.7 KB. update() at L93 (0 lines). Writes 2 globals.</t>
  </si>
  <si>
    <t xml:space="preserve">__sanctuaryTopDownHeight; __sanctuaryZoomFactor</t>
  </si>
  <si>
    <t xml:space="preserve">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</si>
  <si>
    <t xml:space="preserve">561 lines, 20.3 KB. update() at L534 (3 lines, every 240f). Writes 1 globals.</t>
  </si>
  <si>
    <t xml:space="preserve">MOD-061, MOD-100, MOD-101, MOD-102, MOD-103</t>
  </si>
  <si>
    <t xml:space="preserve">MOD-065</t>
  </si>
  <si>
    <t xml:space="preserve">AnuUniverse</t>
  </si>
  <si>
    <t xml:space="preserve">Orchestrator; ThreeIconManager; anuOrchestrator; icons</t>
  </si>
  <si>
    <t xml:space="preserve">FUZZY_PIPELINE_SENSOR; GOVERNANCE_SNAPSHOT; WORLD_SENSORIUM</t>
  </si>
  <si>
    <t xml:space="preserve">MOD-050</t>
  </si>
  <si>
    <t xml:space="preserve">js/v2/BuildMode.js</t>
  </si>
  <si>
    <t xml:space="preserve">Legacy v2 build only (index.v2.html)</t>
  </si>
  <si>
    <t xml:space="preserve">BuildMode</t>
  </si>
  <si>
    <t xml:space="preserve">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</si>
  <si>
    <t xml:space="preserve">973 lines, 34.7 KB. update() at L328 (20 lines). Writes 1 globals.</t>
  </si>
  <si>
    <t xml:space="preserve">MOD-057, MOD-061, MOD-074, MOD-098, MOD-104</t>
  </si>
  <si>
    <t xml:space="preserve">_v2BuildClear</t>
  </si>
  <si>
    <t xml:space="preserve">_v2InputSuppressed; addEventListener; anuOrchestrator; localStorage; removeEventListener</t>
  </si>
  <si>
    <t xml:space="preserve">Assets/tree.glb</t>
  </si>
  <si>
    <t xml:space="preserve">MOD-051</t>
  </si>
  <si>
    <t xml:space="preserve">js/v2/BuildingPanelUI.js</t>
  </si>
  <si>
    <t xml:space="preserve">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</si>
  <si>
    <t xml:space="preserve">150 lines, 5.4 KB. No update().</t>
  </si>
  <si>
    <t xml:space="preserve">SanctuaryBuildings; addEventListener</t>
  </si>
  <si>
    <t xml:space="preserve">2026-06-03 feat(village): building-types panel in village view (Tipi/Dock/Pool, list-only)</t>
  </si>
  <si>
    <t xml:space="preserve">MOD-052</t>
  </si>
  <si>
    <t xml:space="preserve">js/v2/ClickToMoveMarker.js</t>
  </si>
  <si>
    <t xml:space="preserve">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</si>
  <si>
    <t xml:space="preserve">336 lines, 14.2 KB. No update().</t>
  </si>
  <si>
    <t xml:space="preserve">MOD-061, MOD-098</t>
  </si>
  <si>
    <t xml:space="preserve">MOD-069</t>
  </si>
  <si>
    <t xml:space="preserve">uses:WorldPhysics</t>
  </si>
  <si>
    <t xml:space="preserve">MOD-053</t>
  </si>
  <si>
    <t xml:space="preserve">js/v2/ConfettiBurst.js</t>
  </si>
  <si>
    <t xml:space="preserve">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</si>
  <si>
    <t xml:space="preserve">344 lines, 11.8 KB. No update().</t>
  </si>
  <si>
    <t xml:space="preserve">MOD-054</t>
  </si>
  <si>
    <t xml:space="preserve">js/v2/Fauna.js</t>
  </si>
  <si>
    <t xml:space="preserve">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</si>
  <si>
    <t xml:space="preserve">2153 lines, 77.1 KB. update() at L1887 (213 lines).</t>
  </si>
  <si>
    <t xml:space="preserve">MOD-061, MOD-083, MOD-103, MOD-104</t>
  </si>
  <si>
    <t xml:space="preserve">natureSpiritSystem</t>
  </si>
  <si>
    <t xml:space="preserve">uses:AnuNatureAwareness; uses:WorldPhysics; uses:WorldPlayer</t>
  </si>
  <si>
    <t xml:space="preserve">Assets/rabbit.animated.glb</t>
  </si>
  <si>
    <t xml:space="preserve">2026-05-24 fix(fauna): use GLTFLoaderWithDraco for rabbit model loading</t>
  </si>
  <si>
    <t xml:space="preserve">MOD-055</t>
  </si>
  <si>
    <t xml:space="preserve">js/v2/Flora.js</t>
  </si>
  <si>
    <t xml:space="preserve">Trees</t>
  </si>
  <si>
    <t xml:space="preserve">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</si>
  <si>
    <t xml:space="preserve">1976 lines, 75.5 KB. update() at L1725 (52 lines).</t>
  </si>
  <si>
    <t xml:space="preserve">MOD-056, MOD-057, MOD-061, MOD-093, MOD-094, MOD-098, MOD-100, MOD-103, MOD-104</t>
  </si>
  <si>
    <t xml:space="preserve">MOD-063</t>
  </si>
  <si>
    <t xml:space="preserve">WorldPhysics; WorldPlayer; anuOrchestrator</t>
  </si>
  <si>
    <t xml:space="preserve">uses:WorldPhysics; uses:WorldPlayer</t>
  </si>
  <si>
    <t xml:space="preserve">FND-10</t>
  </si>
  <si>
    <t xml:space="preserve">MOD-056</t>
  </si>
  <si>
    <t xml:space="preserve">js/v2/FloraLegacyTreeLayout.js</t>
  </si>
  <si>
    <t xml:space="preserve">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</si>
  <si>
    <t xml:space="preserve">235 lines, 8.9 KB. No update().</t>
  </si>
  <si>
    <t xml:space="preserve">MOD-103</t>
  </si>
  <si>
    <t xml:space="preserve">getNearestHexCenter</t>
  </si>
  <si>
    <t xml:space="preserve">MOD-057</t>
  </si>
  <si>
    <t xml:space="preserve">js/v2/MapsConfig.js</t>
  </si>
  <si>
    <t xml:space="preserve">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</si>
  <si>
    <t xml:space="preserve">236 lines, 7.9 KB. No update(). Writes 3 globals.</t>
  </si>
  <si>
    <t xml:space="preserve">MOD-050, MOD-055, MOD-060, MOD-069, MOD-083</t>
  </si>
  <si>
    <t xml:space="preserve">_v2ActiveMap; _v2ListMaps; _v2SetMap</t>
  </si>
  <si>
    <t xml:space="preserve">localStorage; location</t>
  </si>
  <si>
    <t xml:space="preserve">2026-05-29 Revert "chore(maps): force-reset active map in localStorage to scene0 + coordinate handoff"</t>
  </si>
  <si>
    <t xml:space="preserve">MOD-058</t>
  </si>
  <si>
    <t xml:space="preserve">js/v2/NPCBehaviour.js</t>
  </si>
  <si>
    <t xml:space="preserve">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</si>
  <si>
    <t xml:space="preserve">635 lines, 25.1 KB. No update().</t>
  </si>
  <si>
    <t xml:space="preserve">MOD-093, MOD-100, MOD-103</t>
  </si>
  <si>
    <t xml:space="preserve">MOD-082</t>
  </si>
  <si>
    <t xml:space="preserve">PLAYER_NPC_GREETING</t>
  </si>
  <si>
    <t xml:space="preserve">MOD-059</t>
  </si>
  <si>
    <t xml:space="preserve">js/v2/Orchestrator.js</t>
  </si>
  <si>
    <t xml:space="preserve">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</si>
  <si>
    <t xml:space="preserve">1843 lines, 77.7 KB. No update(). Writes 4 globals.</t>
  </si>
  <si>
    <t xml:space="preserve">MOD-060, MOD-061, MOD-086, MOD-087, MOD-090, MOD-092, MOD-093, MOD-094, MOD-096, MOD-097, MOD-100, MOD-103</t>
  </si>
  <si>
    <t xml:space="preserve">Orchestrator; __isRenderingPip; __mobileTexCap; anuOrchestrator</t>
  </si>
  <si>
    <t xml:space="preserve">AnuUniverse; WorldPlayer; __sanctuaryBobberPos; __sanctuaryFishingActive; __sanctuaryFloraTimeUniform; _globalTime; addEventListener; devicePixelRatio; innerHeight; innerWidth; localStorage; removeEventListener; swayTrees</t>
  </si>
  <si>
    <t xml:space="preserve">MODULE_ACTIVATED; MODULE_DEACTIVATED; ORCHESTRATOR_BENCH_COMPLETE</t>
  </si>
  <si>
    <t xml:space="preserve">uses:PipOrthoBranchClip; uses:WorldPlayer</t>
  </si>
  <si>
    <t xml:space="preserve">2026-06-01 feat(mobile): restore PiP minimap via main-context render target</t>
  </si>
  <si>
    <t xml:space="preserve">FND-03, FND-04, FND-05, FND-06, FND-07, FND-08, FND-09, FND-11, FND-14, FND-16, FND-20, FND-21, FND-22, FND-31</t>
  </si>
  <si>
    <t xml:space="preserve">MOD-060</t>
  </si>
  <si>
    <t xml:space="preserve">js/v2/OrchestratorHud.js</t>
  </si>
  <si>
    <t xml:space="preserve">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</si>
  <si>
    <t xml:space="preserve">972 lines, 40.6 KB. No update(). Writes 2 globals.</t>
  </si>
  <si>
    <t xml:space="preserve">MOD-057, MOD-061, MOD-089, MOD-092, MOD-096, MOD-103</t>
  </si>
  <si>
    <t xml:space="preserve">_v2SyncVillageViewRightStack; _v4GetPipelineTrace</t>
  </si>
  <si>
    <t xml:space="preserve">AnuUniverse; _detectedHz; addEventListener; clearInterval; devicePixelRatio; setInterval</t>
  </si>
  <si>
    <t xml:space="preserve">uses:WebFontsService</t>
  </si>
  <si>
    <t xml:space="preserve">js/v2/RuntimeServices.js</t>
  </si>
  <si>
    <t xml:space="preserve">Sacred Adventures v2 — lightweight runtime service registry. Modules use this for live cross-module state instead of reaching directly for window.* globals. Legacy globals can stay as aliases while the V2 modules move toward an explicit runtime contract.</t>
  </si>
  <si>
    <t xml:space="preserve">175 lines, 5.8 KB. No update().</t>
  </si>
  <si>
    <t xml:space="preserve">MOD-046, MOD-049, MOD-050, MOD-052, MOD-054, MOD-055, MOD-059, MOD-060, MOD-064, MOD-067, MOD-068, MOD-069, MOD-073, MOD-078, MOD-081, MOD-082, MOD-090, MOD-094</t>
  </si>
  <si>
    <t xml:space="preserve">2026-05-27 refactor(fonts): centralize font loading via WebFontsService and implement advanced proximity culling for high-res PiP minimap</t>
  </si>
  <si>
    <t xml:space="preserve">FND-11</t>
  </si>
  <si>
    <t xml:space="preserve">MOD-062</t>
  </si>
  <si>
    <t xml:space="preserve">js/v2/TipiCampfire.js</t>
  </si>
  <si>
    <t xml:space="preserve">338 lines, 12.1 KB. update() at L171 (16 lines).</t>
  </si>
  <si>
    <t xml:space="preserve">MOD-098, MOD-103</t>
  </si>
  <si>
    <t xml:space="preserve">js/v2/Trees.js</t>
  </si>
  <si>
    <t xml:space="preserve">Sacred Adventures v2 — orchestrator activates this file as **`Trees`**. Legacy EnvironmentBuilder-grade forest pipeline (multipart `tree.glb`, foliage tints, shader wind, terrain dirt discs, PiP ortho branch clip): implemented in `./Flora.js`.</t>
  </si>
  <si>
    <t xml:space="preserve">8 lines, 0.3 KB. No update().</t>
  </si>
  <si>
    <t xml:space="preserve">2026-05-10 feat(v2): legacy-quality forest pipeline as Trees · 2× slots · ANU</t>
  </si>
  <si>
    <t xml:space="preserve">307 lines, 11.2 KB. update() at L246 (28 lines, every 10f). Per-frame hazards: dom_query×1, dom_write×1.</t>
  </si>
  <si>
    <t xml:space="preserve">MOD-061, MOD-092, MOD-106</t>
  </si>
  <si>
    <t xml:space="preserve">WorldPlayer; postMessage</t>
  </si>
  <si>
    <t xml:space="preserve">WebFontsService; uses:WorldPlayer</t>
  </si>
  <si>
    <t xml:space="preserve">TOGGLE_VIEW_MODE</t>
  </si>
  <si>
    <t xml:space="preserve">FND-26</t>
  </si>
  <si>
    <t xml:space="preserve">js/v2/UniverseModule.js</t>
  </si>
  <si>
    <t xml:space="preserve">Legacy path — Anu (`AnuModule.js`) is the sole SacredOrchestrator coordinator. - Prefer `import { AnuModule } from "./AnuModule.js"` and `orc.register(AnuModule)`. - `UniverseModule` is an alias of `AnuModule` (registry name remains `"Anu"`). Do not register both.</t>
  </si>
  <si>
    <t xml:space="preserve">13 lines, 0.4 KB. No update().</t>
  </si>
  <si>
    <t xml:space="preserve">2026-05-10 feat(v2): elevate Anu as sole coordinator; ease scene inventory cadence</t>
  </si>
  <si>
    <t xml:space="preserve">MOD-066</t>
  </si>
  <si>
    <t xml:space="preserve">js/v2/V2IconRenderer.js</t>
  </si>
  <si>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</si>
  <si>
    <t xml:space="preserve">303 lines, 11.3 KB. No update().</t>
  </si>
  <si>
    <t xml:space="preserve">MOD-067</t>
  </si>
  <si>
    <t xml:space="preserve">ThreeIconManager; addEventListener; devicePixelRatio; innerHeight; innerWidth; removeEventListener</t>
  </si>
  <si>
    <t xml:space="preserve">js/v2/V2Panel.js</t>
  </si>
  <si>
    <t xml:space="preserve">V2Panel</t>
  </si>
  <si>
    <t xml:space="preserve">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</si>
  <si>
    <t xml:space="preserve">1448 lines, 48.0 KB. update() at L681 (3 lines). Writes 3 globals.</t>
  </si>
  <si>
    <t xml:space="preserve">MOD-061, MOD-066, MOD-103, MOD-104</t>
  </si>
  <si>
    <t xml:space="preserve">AXE_GLB_BASE64; THREE; icons</t>
  </si>
  <si>
    <t xml:space="preserve">ThreeIconManager; _v2FishingPoint; _v2ToggleJournal; addEventListener; anuOrchestrator; devicePixelRatio; dispatchEvent; getComputedStyle; removeEventListener</t>
  </si>
  <si>
    <t xml:space="preserve">uses:WebFontsService; uses:WorldPlayer</t>
  </si>
  <si>
    <t xml:space="preserve">dom:v2-action; dom:v2-avatar; dom:v2-map-toggle; dom:v2-resource</t>
  </si>
  <si>
    <t xml:space="preserve">MOD-068</t>
  </si>
  <si>
    <t xml:space="preserve">js/v2/VillageBuilder.js</t>
  </si>
  <si>
    <t xml:space="preserve">VillageBuilder</t>
  </si>
  <si>
    <t xml:space="preserve">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</si>
  <si>
    <t xml:space="preserve">973 lines, 34.2 KB. No update().</t>
  </si>
  <si>
    <t xml:space="preserve">MOD-061, MOD-083, MOD-098, MOD-103, MOD-104</t>
  </si>
  <si>
    <t xml:space="preserve">clearInterval; dispatchEvent; setInterval</t>
  </si>
  <si>
    <t xml:space="preserve">uses:WorldPlayer</t>
  </si>
  <si>
    <t xml:space="preserve">dom:v2-village-apply; dom:v2-village-focus-building; dom:v2-village-mapgen-size</t>
  </si>
  <si>
    <t xml:space="preserve">Assets/Tipi.yellowbutterfly/tipi.yellowbutterfly.glb</t>
  </si>
  <si>
    <t xml:space="preserve">2026-05-24 refactor(paths): migrate remaining WORDPRESS/ asset paths to canonical root Assets/ folder</t>
  </si>
  <si>
    <t xml:space="preserve">js/v2/World.js</t>
  </si>
  <si>
    <t xml:space="preserve">World</t>
  </si>
  <si>
    <t xml:space="preserve">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</si>
  <si>
    <t xml:space="preserve">2237 lines, 87.0 KB. update() at L831 (809 lines, every 24f). Writes 4 globals.</t>
  </si>
  <si>
    <t xml:space="preserve">MOD-052, MOD-057, MOD-061, MOD-070, MOD-071, MOD-075, MOD-076, MOD-077, MOD-082, MOD-083, MOD-093, MOD-098, MOD-100, MOD-103</t>
  </si>
  <si>
    <t xml:space="preserve">WorldPhysics; WorldPlayer; _terrainHeightCache; _v2StoneAxeInInventory</t>
  </si>
  <si>
    <t xml:space="preserve">_v2FishingActive; _v2FishingCameraOverride; _v2FishingEngaged; _v2InputSuppressed; _v2JournalInsertLogPageAfterTitle; _v2JournalOpen; _v2OpenJournalFromProximity; _v2SetCinematicUiHidden; _v2SyncVillageViewRightStack; _v2ToggleJournal; _v3DisableNatureSpirit; anuOrchestrator; localStorage</t>
  </si>
  <si>
    <t xml:space="preserve">PLAYER_JUMP; PLAYER_STATE_SAMPLE</t>
  </si>
  <si>
    <t xml:space="preserve">2026-05-29 feat(sanctuary): permanent start pos, baby blue fishing circle, and photorealistic wide dark wood dock</t>
  </si>
  <si>
    <t xml:space="preserve">MOD-070</t>
  </si>
  <si>
    <t xml:space="preserve">js/v2/WorldAvatar.js</t>
  </si>
  <si>
    <t xml:space="preserve">749 lines, 32.5 KB. update() at L717 (6 lines).</t>
  </si>
  <si>
    <t xml:space="preserve">MOD-093, MOD-098, MOD-099, MOD-100, MOD-103, MOD-104</t>
  </si>
  <si>
    <t xml:space="preserve">location</t>
  </si>
  <si>
    <t xml:space="preserve">PLAYER_AVATAR_ANIMATION</t>
  </si>
  <si>
    <t xml:space="preserve">MOD-071</t>
  </si>
  <si>
    <t xml:space="preserve">js/v2/WorldCelestial.js</t>
  </si>
  <si>
    <t xml:space="preserve">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</si>
  <si>
    <t xml:space="preserve">501 lines, 15.7 KB. update() at L454 (15 lines).</t>
  </si>
  <si>
    <t xml:space="preserve">MOD-093, MOD-100, MOD-105</t>
  </si>
  <si>
    <t xml:space="preserve">LUNAR_PHASE; SEASON_CHANGE</t>
  </si>
  <si>
    <t xml:space="preserve">MOD-072</t>
  </si>
  <si>
    <t xml:space="preserve">js/v2/WorldDistantPeaks.js</t>
  </si>
  <si>
    <t xml:space="preserve">DistantPeaks</t>
  </si>
  <si>
    <t xml:space="preserve">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</si>
  <si>
    <t xml:space="preserve">224 lines, 6.9 KB. update() at L204 (2 lines).</t>
  </si>
  <si>
    <t xml:space="preserve">MOD-073</t>
  </si>
  <si>
    <t xml:space="preserve">js/v2/WorldFishing.js</t>
  </si>
  <si>
    <t xml:space="preserve">Nightcrawler</t>
  </si>
  <si>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</si>
  <si>
    <t xml:space="preserve">2103 lines, 87.4 KB. update() at L1017 (155 lines). Writes 6 globals.</t>
  </si>
  <si>
    <t xml:space="preserve">MOD-061, MOD-083, MOD-098, MOD-103</t>
  </si>
  <si>
    <t xml:space="preserve">_v2FishingActive; _v2FishingCameraOverride; _v2FishingCameraReleased; _v2FishingEngaged; _v2FishingPoint; _v2PoolFishTemplate</t>
  </si>
  <si>
    <t xml:space="preserve">_v2PoolFish; anuOrchestrator; localStorage</t>
  </si>
  <si>
    <t xml:space="preserve">MOD-074</t>
  </si>
  <si>
    <t xml:space="preserve">js/v2/WorldMossyRock.js</t>
  </si>
  <si>
    <t xml:space="preserve">Shared mossy landscape rock — `rock.mossy.glb` cloned to multiple sites. One cached `loadAsync` promise so Pool2 + tipi boots do not double-fetch.</t>
  </si>
  <si>
    <t xml:space="preserve">82 lines, 2.7 KB. No update().</t>
  </si>
  <si>
    <t xml:space="preserve">MOD-083, MOD-098, MOD-104</t>
  </si>
  <si>
    <t xml:space="preserve">MOD-050, MOD-078, MOD-082</t>
  </si>
  <si>
    <t xml:space="preserve">Assets/landscape-scenes/terrain/rock.mossy.glb</t>
  </si>
  <si>
    <t xml:space="preserve">MOD-075</t>
  </si>
  <si>
    <t xml:space="preserve">js/v2/WorldNatureSpirit.js</t>
  </si>
  <si>
    <t xml:space="preserve">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</si>
  <si>
    <t xml:space="preserve">866 lines, 33.4 KB. update() at L658 (129 lines). Writes 1 globals.</t>
  </si>
  <si>
    <t xml:space="preserve">MOD-093, MOD-098, MOD-100, MOD-103, MOD-104</t>
  </si>
  <si>
    <t xml:space="preserve">NPC_ENTITY</t>
  </si>
  <si>
    <t xml:space="preserve">Assets/animated.stag.glb</t>
  </si>
  <si>
    <t xml:space="preserve">MOD-076</t>
  </si>
  <si>
    <t xml:space="preserve">js/v2/WorldPhysics.js</t>
  </si>
  <si>
    <t xml:space="preserve">260 lines, 7.9 KB. No update().</t>
  </si>
  <si>
    <t xml:space="preserve">MOD-069, MOD-078</t>
  </si>
  <si>
    <t xml:space="preserve">MOD-077</t>
  </si>
  <si>
    <t xml:space="preserve">js/v2/WorldPlayerController.js</t>
  </si>
  <si>
    <t xml:space="preserve">122 lines, 4.2 KB. No update(). Writes 1 globals.</t>
  </si>
  <si>
    <t xml:space="preserve">_v2InputSuppressed</t>
  </si>
  <si>
    <t xml:space="preserve">addEventListener; removeEventListener</t>
  </si>
  <si>
    <t xml:space="preserve">PLAYER_KEY_EDGE</t>
  </si>
  <si>
    <t xml:space="preserve">MOD-078</t>
  </si>
  <si>
    <t xml:space="preserve">js/v2/WorldPool2.js</t>
  </si>
  <si>
    <t xml:space="preserve">Pool2</t>
  </si>
  <si>
    <t xml:space="preserve">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</si>
  <si>
    <t xml:space="preserve">2769 lines, 108.0 KB. update() at L2004 (626 lines). Writes 3 globals.</t>
  </si>
  <si>
    <t xml:space="preserve">MOD-061, MOD-074, MOD-076, MOD-082, MOD-083, MOD-098, MOD-103, MOD-104</t>
  </si>
  <si>
    <t xml:space="preserve">_v2FishingPoint; _v2PoolFish; _v2PoolFishTemplate</t>
  </si>
  <si>
    <t xml:space="preserve">WorldPhysics</t>
  </si>
  <si>
    <t xml:space="preserve">uses:AnuNatureAwareness; uses:WorldPhysics</t>
  </si>
  <si>
    <t xml:space="preserve">Assets/fauna/animal-pack/deer.glb</t>
  </si>
  <si>
    <t xml:space="preserve">MOD-079</t>
  </si>
  <si>
    <t xml:space="preserve">js/v2/WorldQuietGlade.js</t>
  </si>
  <si>
    <t xml:space="preserve">QuietGlade</t>
  </si>
  <si>
    <t xml:space="preserve">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</si>
  <si>
    <t xml:space="preserve">321 lines, 10.1 KB. update() at L266 (23 lines).</t>
  </si>
  <si>
    <t xml:space="preserve">MOD-083, MOD-098, MOD-103</t>
  </si>
  <si>
    <t xml:space="preserve">MOD-080</t>
  </si>
  <si>
    <t xml:space="preserve">js/v2/WorldSacredPlatform.js</t>
  </si>
  <si>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</si>
  <si>
    <t xml:space="preserve">584 lines, 20.9 KB. No update().</t>
  </si>
  <si>
    <t xml:space="preserve">MOD-039, MOD-082</t>
  </si>
  <si>
    <t xml:space="preserve">MOD-081</t>
  </si>
  <si>
    <t xml:space="preserve">js/v2/WorldSkyFlock.js</t>
  </si>
  <si>
    <t xml:space="preserve">WorldSkyFlock</t>
  </si>
  <si>
    <t xml:space="preserve">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</si>
  <si>
    <t xml:space="preserve">478 lines, 15.3 KB. update() at L265 (210 lines). Per-frame hazards: matrix_update×1.</t>
  </si>
  <si>
    <t xml:space="preserve">MOD-061, MOD-083, MOD-098</t>
  </si>
  <si>
    <t xml:space="preserve">js/v2/WorldStructures.js</t>
  </si>
  <si>
    <t xml:space="preserve">1744 lines, 66.8 KB. No update(). Writes 1 globals.</t>
  </si>
  <si>
    <t xml:space="preserve">MOD-058, MOD-061, MOD-062, MOD-074, MOD-080, MOD-083, MOD-084, MOD-094, MOD-098, MOD-099, MOD-103, MOD-104</t>
  </si>
  <si>
    <t xml:space="preserve">MOD-038, MOD-039, MOD-069, MOD-078</t>
  </si>
  <si>
    <t xml:space="preserve">_tipiPlatformY</t>
  </si>
  <si>
    <t xml:space="preserve">_v3DisableSeatedNpcs</t>
  </si>
  <si>
    <t xml:space="preserve">Assets/NPC.BHG.glb; Assets/NPC.YB.glb; Assets/Tipi.yellowbutterfly/tipi.yellowbutterfly.glb; Assets/axe.glb</t>
  </si>
  <si>
    <t xml:space="preserve">MOD-083</t>
  </si>
  <si>
    <t xml:space="preserve">js/v2/WorldTerrain.js</t>
  </si>
  <si>
    <t xml:space="preserve">Sacred Adventures v2 — terrain height and material helpers. Kept separate from WorldModule so terrain math can be reused by physics, tools, and future world chunk/LOD modules without pulling in player state.</t>
  </si>
  <si>
    <t xml:space="preserve">352 lines, 14.1 KB. No update().</t>
  </si>
  <si>
    <t xml:space="preserve">MOD-057, MOD-103</t>
  </si>
  <si>
    <t xml:space="preserve">MOD-054, MOD-068, MOD-069, MOD-073, MOD-074, MOD-078, MOD-079, MOD-081, MOD-082, MOD-085</t>
  </si>
  <si>
    <t xml:space="preserve">MOD-084</t>
  </si>
  <si>
    <t xml:space="preserve">js/v2/WorldTipiJournalBalloon.js</t>
  </si>
  <si>
    <t xml:space="preserve">Tipi 1 journal guide — 3D golden balloon matching `Component.ThreeIcons.js` `buildQuest` (lathe body + knot + “!” sprite + additive bloom + sparkles). World-scaled with a gentle wind sway for the main scene (not the HUD icon pass).</t>
  </si>
  <si>
    <t xml:space="preserve">297 lines, 8.7 KB. update() at L275 (19 lines).</t>
  </si>
  <si>
    <t xml:space="preserve">MOD-085</t>
  </si>
  <si>
    <t xml:space="preserve">js/v2/WorldTraderJosh.js</t>
  </si>
  <si>
    <t xml:space="preserve">TraderJosh</t>
  </si>
  <si>
    <t xml:space="preserve">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</si>
  <si>
    <t xml:space="preserve">268 lines, 10.8 KB. update() at L173 (77 lines).</t>
  </si>
  <si>
    <t xml:space="preserve">Assets/TraderJosh3d.glb</t>
  </si>
  <si>
    <t xml:space="preserve">MOD-086</t>
  </si>
  <si>
    <t xml:space="preserve">js/v2/anu/AdaptiveRenderPolicy.js</t>
  </si>
  <si>
    <t xml:space="preserve">Stress / relax hysteresis over PiP cadence — Phase 1 sentient-runtime loop. Raises stride (fewer PiP 3D draws per second) when frames run hot; eases back toward constants.js baseline when stable.</t>
  </si>
  <si>
    <t xml:space="preserve">87 lines, 2.6 KB. No update().</t>
  </si>
  <si>
    <t xml:space="preserve">MOD-096, MOD-103</t>
  </si>
  <si>
    <t xml:space="preserve">MOD-059, MOD-101</t>
  </si>
  <si>
    <t xml:space="preserve">2026-06-01 fix(render): refresh-aware adaptive thresholds — stop perpetual shedding at 57-60fps on 60Hz</t>
  </si>
  <si>
    <t xml:space="preserve">MOD-087</t>
  </si>
  <si>
    <t xml:space="preserve">js/v2/anu/AnuErrorAndStressLedger.js</t>
  </si>
  <si>
    <t xml:space="preserve">Central error capture + pipeline stress samples for Anu. Exports JSON-friendly payloads so humans / AI coders can tune constants when stress persists.</t>
  </si>
  <si>
    <t xml:space="preserve">222 lines, 6.9 KB. No update().</t>
  </si>
  <si>
    <t xml:space="preserve">MOD-092, MOD-093, MOD-096, MOD-100, MOD-103</t>
  </si>
  <si>
    <t xml:space="preserve">MOD-059, MOD-088, MOD-101</t>
  </si>
  <si>
    <t xml:space="preserve">MODULE_LOAD_ERROR; ORCHESTRATOR_LOOP_ERROR; PIPELINE_STRESS_LEVEL</t>
  </si>
  <si>
    <t xml:space="preserve">MOD-088</t>
  </si>
  <si>
    <t xml:space="preserve">js/v2/anu/AnuFuzzyPipelineSensor.js</t>
  </si>
  <si>
    <t xml:space="preserve">Fuzzy bottleneck sensor for Anu. Converts raw frame/render/scene/error telemetry into an AI-readable diagnosis. This is intentionally heuristic: it should point attention to the likely pressure point without pretending one metric is the whole truth.</t>
  </si>
  <si>
    <t xml:space="preserve">219 lines, 6.3 KB. No update().</t>
  </si>
  <si>
    <t xml:space="preserve">MOD-087, MOD-092, MOD-096, MOD-097, MOD-103</t>
  </si>
  <si>
    <t xml:space="preserve">MOD-091, MOD-101</t>
  </si>
  <si>
    <t xml:space="preserve">anuOrchestrator</t>
  </si>
  <si>
    <t xml:space="preserve">2026-05-27 fix(hud,anu): remove trees-banner CTA and fix pip-pass false-bottleneck label</t>
  </si>
  <si>
    <t xml:space="preserve">MOD-089</t>
  </si>
  <si>
    <t xml:space="preserve">js/v2/anu/AnuGovernanceRules.js</t>
  </si>
  <si>
    <t xml:space="preserve">Anu governance rules. These are runtime contracts, not lore: every V2 model and interaction path should be added through these rules so ANU can verify what governs it.</t>
  </si>
  <si>
    <t xml:space="preserve">162 lines, 5.1 KB. No update().</t>
  </si>
  <si>
    <t xml:space="preserve">MOD-060, MOD-091, MOD-101</t>
  </si>
  <si>
    <t xml:space="preserve">WorldPhysics; anuOrchestrator</t>
  </si>
  <si>
    <t xml:space="preserve">MOD-090</t>
  </si>
  <si>
    <t xml:space="preserve">js/v2/anu/AnuNatureAwareness.js</t>
  </si>
  <si>
    <t xml:space="preserve">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</si>
  <si>
    <t xml:space="preserve">280 lines, 8.9 KB. update() at L114 (6 lines).</t>
  </si>
  <si>
    <t xml:space="preserve">MOD-061, MOD-093, MOD-100</t>
  </si>
  <si>
    <t xml:space="preserve">FAUNA_TICK</t>
  </si>
  <si>
    <t xml:space="preserve">AnuNatureAwareness; uses:AnuNatureAwareness; uses:WorldPhysics</t>
  </si>
  <si>
    <t xml:space="preserve">MOD-091</t>
  </si>
  <si>
    <t xml:space="preserve">js/v2/anu/AnuWorldSensorium.js</t>
  </si>
  <si>
    <t xml:space="preserve">Anu World Sensorium. A single awareness snapshot for AI/tools: what is alive in the V2 world, what domain it belongs to, whether it is interactable, and what ANU should watch before more flora/fauna/NPC/building/item systems are added.</t>
  </si>
  <si>
    <t xml:space="preserve">162 lines, 6.3 KB. No update().</t>
  </si>
  <si>
    <t xml:space="preserve">MOD-088, MOD-089, MOD-097, MOD-098</t>
  </si>
  <si>
    <t xml:space="preserve">MOD-101</t>
  </si>
  <si>
    <t xml:space="preserve">2026-05-10 feat(v2): add ANU world governance sensorium</t>
  </si>
  <si>
    <t xml:space="preserve">MOD-092</t>
  </si>
  <si>
    <t xml:space="preserve">js/v2/anu/FrameBudget.js</t>
  </si>
  <si>
    <t xml:space="preserve">Wall-clock frame duration sampling for Anu / adaptive policy (main thread).</t>
  </si>
  <si>
    <t xml:space="preserve">118 lines, 3.4 KB. No update(). Writes 1 globals.</t>
  </si>
  <si>
    <t xml:space="preserve">MOD-002, MOD-013, MOD-020, MOD-021, MOD-026, MOD-035, MOD-059, MOD-060, MOD-064, MOD-087, MOD-088, MOD-101</t>
  </si>
  <si>
    <t xml:space="preserve">MOD-093</t>
  </si>
  <si>
    <t xml:space="preserve">js/v2/anu/InteractionBus.js</t>
  </si>
  <si>
    <t xml:space="preserve">Anu — central interaction dispatch (UI, physics-adjacent events, orchestration). Event name constants: ./anuEvents.js (import ANU_EVENTS from there).</t>
  </si>
  <si>
    <t xml:space="preserve">43 lines, 1.0 KB. No update().</t>
  </si>
  <si>
    <t xml:space="preserve">MOD-002, MOD-016, MOD-018, MOD-029, MOD-030, MOD-033, MOD-047, MOD-055, MOD-058, MOD-059, MOD-069, MOD-070, MOD-071, MOD-075, MOD-087, MOD-090, MOD-097, MOD-101</t>
  </si>
  <si>
    <t xml:space="preserve">2026-05-09 feat(v2): sentient runtime plan + Phase 1 adaptive PiP &amp; frame budget</t>
  </si>
  <si>
    <t xml:space="preserve">MOD-094</t>
  </si>
  <si>
    <t xml:space="preserve">js/v2/anu/PipOrthoRingDiskClip.js</t>
  </si>
  <si>
    <t xml:space="preserve">PiP ortho minimap (#pipCanvas): simplified to a standard simple camera pass. Disables custom shader compiling/discard checks to restore solid rendering performance.</t>
  </si>
  <si>
    <t xml:space="preserve">58 lines, 1.3 KB. No update().</t>
  </si>
  <si>
    <t xml:space="preserve">MOD-055, MOD-059, MOD-082</t>
  </si>
  <si>
    <t xml:space="preserve">PipOrthoBranchClip</t>
  </si>
  <si>
    <t xml:space="preserve">2026-05-28 perf(pip): disable ortho fragment discard clipping and super-cull all trees to maximize FPS</t>
  </si>
  <si>
    <t xml:space="preserve">MOD-095</t>
  </si>
  <si>
    <t xml:space="preserve">js/v2/anu/PipRenderStrategy.js</t>
  </si>
  <si>
    <t xml:space="preserve">130 lines, 3.6 KB. No update().</t>
  </si>
  <si>
    <t xml:space="preserve">MOD-106</t>
  </si>
  <si>
    <t xml:space="preserve">devicePixelRatio</t>
  </si>
  <si>
    <t xml:space="preserve">MOD-096</t>
  </si>
  <si>
    <t xml:space="preserve">js/v2/anu/RenderingGovernor.js</t>
  </si>
  <si>
    <t xml:space="preserve">Anu — rendering policy (single source of truth for multi-pass WebGL). Imported by Orchestrator before AnuModule loads so PiP decisions never drift.</t>
  </si>
  <si>
    <t xml:space="preserve">86 lines, 2.7 KB. No update().</t>
  </si>
  <si>
    <t xml:space="preserve">MOD-002, MOD-059, MOD-060, MOD-086, MOD-087, MOD-088, MOD-101</t>
  </si>
  <si>
    <t xml:space="preserve">2026-05-26 feat(fps): wire AnuAdaptiveDpr — Anu's FPS guardian now active</t>
  </si>
  <si>
    <t xml:space="preserve">MOD-097</t>
  </si>
  <si>
    <t xml:space="preserve">js/v2/anu/SceneModelInventory.js</t>
  </si>
  <si>
    <t xml:space="preserve">Full scene-graph inventory for Anu — every drawable Three.js object under the engine scene. Sampled on an interval (not every frame) to avoid traversal cost on large forests.</t>
  </si>
  <si>
    <t xml:space="preserve">386 lines, 11.4 KB. No update().</t>
  </si>
  <si>
    <t xml:space="preserve">MOD-093, MOD-100</t>
  </si>
  <si>
    <t xml:space="preserve">MOD-059, MOD-088, MOD-091, MOD-098, MOD-101</t>
  </si>
  <si>
    <t xml:space="preserve">SCENE_INVENTORY_TICK</t>
  </si>
  <si>
    <t xml:space="preserve">js/v2/anu/SimulationController.js</t>
  </si>
  <si>
    <t xml:space="preserve">Anu as simulation controller — conceptual center for player IO, flora/fauna, structures, and population (NPCs). Active modules + InteractionBus events + scene inventory roll up here.</t>
  </si>
  <si>
    <t xml:space="preserve">119 lines, 4.7 KB. No update().</t>
  </si>
  <si>
    <t xml:space="preserve">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</si>
  <si>
    <t xml:space="preserve">MOD-099</t>
  </si>
  <si>
    <t xml:space="preserve">js/v2/anu/TravelFloorCircleMaterials.js</t>
  </si>
  <si>
    <t xml:space="preserve">200 lines, 5.5 KB. No update().</t>
  </si>
  <si>
    <t xml:space="preserve">MOD-023, MOD-038, MOD-041, MOD-070, MOD-082</t>
  </si>
  <si>
    <t xml:space="preserve">MOD-100</t>
  </si>
  <si>
    <t xml:space="preserve">js/v2/anu/anuEvents.js</t>
  </si>
  <si>
    <t xml:space="preserve">Canonical interaction names — grep-friendly &amp; stable for tools / LLMs.</t>
  </si>
  <si>
    <t xml:space="preserve">51 lines, 2.9 KB. No update().</t>
  </si>
  <si>
    <t xml:space="preserve">MOD-002, MOD-016, MOD-018, MOD-029, MOD-033, MOD-047, MOD-049, MOD-055, MOD-058, MOD-059, MOD-069, MOD-070, MOD-071, MOD-075, MOD-087, MOD-090, MOD-097, MOD-101</t>
  </si>
  <si>
    <t xml:space="preserve">js/v2/anu/index.js</t>
  </si>
  <si>
    <t xml:space="preserve">61 lines, 1.5 KB. No update().</t>
  </si>
  <si>
    <t xml:space="preserve">MOD-086, MOD-087, MOD-088, MOD-089, MOD-091, MOD-092, MOD-093, MOD-095, MOD-096, MOD-097, MOD-098, MOD-100</t>
  </si>
  <si>
    <t xml:space="preserve">MOD-102</t>
  </si>
  <si>
    <t xml:space="preserve">js/v2/anu/pipelineMemory.js</t>
  </si>
  <si>
    <t xml:space="preserve">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</si>
  <si>
    <t xml:space="preserve">1164 lines, 163.4 KB. No update().</t>
  </si>
  <si>
    <t xml:space="preserve">AnuUniverse; ThreeIconManager; _gpuSlideStarted; _v2HandleAnuInput; _v2SetCinematicUiHidden; addEventListener; natureSpiritSystem; postMessage</t>
  </si>
  <si>
    <t xml:space="preserve">REQ_AUTOWALK_TO_ENTITY</t>
  </si>
  <si>
    <t xml:space="preserve">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</si>
  <si>
    <t xml:space="preserve">2026-05-24 chore(anu): replace deprecated WORDPRESS/ references in pipelineMemory.js to fix check-assets scanner</t>
  </si>
  <si>
    <t xml:space="preserve">FND-12</t>
  </si>
  <si>
    <t xml:space="preserve">js/v2/constants.js</t>
  </si>
  <si>
    <t xml:space="preserve">Shared world tuning — matches terrain hex shader (World.js neu hex). Flat-to-flat hex span ≈ sqrt(3) × circumradius.</t>
  </si>
  <si>
    <t xml:space="preserve">862 lines, 41.1 KB. No update().</t>
  </si>
  <si>
    <t xml:space="preserve">MOD-011, MOD-023, MOD-038, MOD-039, MOD-041, MOD-049, MOD-054, MOD-055, MOD-056, MOD-058, MOD-059, MOD-060, MOD-062, MOD-067, MOD-068, MOD-069, MOD-070, MOD-073, MOD-075, MOD-076, MOD-078, MOD-079, MOD-080, MOD-082, MOD-083, MOD-086, MOD-087, MOD-088, MOD-092, MOD-096</t>
  </si>
  <si>
    <t xml:space="preserve">Assets/NPC.YB.glb; Assets/tree.glb</t>
  </si>
  <si>
    <t xml:space="preserve">2026-05-31 perf(render): cap DPR at 1.5 + raise PIP stride 12-&gt;16 for FPS</t>
  </si>
  <si>
    <t xml:space="preserve">js/v2/gltfLoaderSetup.js</t>
  </si>
  <si>
    <t xml:space="preserve">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</si>
  <si>
    <t xml:space="preserve">94 lines, 4.1 KB. No update().</t>
  </si>
  <si>
    <t xml:space="preserve">MOD-011, MOD-034, MOD-038, MOD-039, MOD-050, MOD-054, MOD-055, MOD-067, MOD-068, MOD-070, MOD-074, MOD-075, MOD-078, MOD-082, MOD-085</t>
  </si>
  <si>
    <t xml:space="preserve">FND-02, FND-20</t>
  </si>
  <si>
    <t xml:space="preserve">MOD-105</t>
  </si>
  <si>
    <t xml:space="preserve">js/v2/lunarPhase.js</t>
  </si>
  <si>
    <t xml:space="preserve">Synodic lunar phase index (8 buckets) shared by PiP moondial + main-view night sky moon.</t>
  </si>
  <si>
    <t xml:space="preserve">22 lines, 0.7 KB. No update().</t>
  </si>
  <si>
    <t xml:space="preserve">2026-05-10 feat(v2): update index.v2.html with governance and sensorium exports</t>
  </si>
  <si>
    <t xml:space="preserve">js/v2/pipCompassMath.js</t>
  </si>
  <si>
    <t xml:space="preserve">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</si>
  <si>
    <t xml:space="preserve">63 lines, 2.6 KB. No update().</t>
  </si>
  <si>
    <t xml:space="preserve">MOD-064, MOD-095</t>
  </si>
  <si>
    <t xml:space="preserve">MOD-107</t>
  </si>
  <si>
    <t xml:space="preserve">js/v2/readThroughFoliage.js</t>
  </si>
  <si>
    <t xml:space="preserve">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</si>
  <si>
    <t xml:space="preserve">47 lines, 1.5 KB. No update().</t>
  </si>
  <si>
    <t xml:space="preserve">Connections</t>
  </si>
  <si>
    <t xml:space="preserve">Edge list for graph tools: Kind · From · To</t>
  </si>
  <si>
    <t xml:space="preserve">Edge ID</t>
  </si>
  <si>
    <t xml:space="preserve">Kind</t>
  </si>
  <si>
    <t xml:space="preserve">From (MOD ID)</t>
  </si>
  <si>
    <t xml:space="preserve">From file</t>
  </si>
  <si>
    <t xml:space="preserve">To</t>
  </si>
  <si>
    <t xml:space="preserve">Detail</t>
  </si>
  <si>
    <t xml:space="preserve">Scope</t>
  </si>
  <si>
    <t xml:space="preserve">EDG-0001</t>
  </si>
  <si>
    <t xml:space="preserve">import</t>
  </si>
  <si>
    <t xml:space="preserve">FrameBudget.js</t>
  </si>
  <si>
    <t xml:space="preserve">Live</t>
  </si>
  <si>
    <t xml:space="preserve">EDG-0002</t>
  </si>
  <si>
    <t xml:space="preserve">InteractionBus.js</t>
  </si>
  <si>
    <t xml:space="preserve">EDG-0003</t>
  </si>
  <si>
    <t xml:space="preserve">RenderingGovernor.js</t>
  </si>
  <si>
    <t xml:space="preserve">EDG-0004</t>
  </si>
  <si>
    <t xml:space="preserve">SimulationController.js</t>
  </si>
  <si>
    <t xml:space="preserve">EDG-0005</t>
  </si>
  <si>
    <t xml:space="preserve">anuEvents.js</t>
  </si>
  <si>
    <t xml:space="preserve">EDG-0006</t>
  </si>
  <si>
    <t xml:space="preserve">anu-event-dispatch</t>
  </si>
  <si>
    <t xml:space="preserve">ANU_EVENTS.RENDERING_DPR_CHANGE</t>
  </si>
  <si>
    <t xml:space="preserve">EDG-0007</t>
  </si>
  <si>
    <t xml:space="preserve">SanctuaryGround.js</t>
  </si>
  <si>
    <t xml:space="preserve">EDG-0008</t>
  </si>
  <si>
    <t xml:space="preserve">EDG-0009</t>
  </si>
  <si>
    <t xml:space="preserve">EDG-0010</t>
  </si>
  <si>
    <t xml:space="preserve">EDG-0011</t>
  </si>
  <si>
    <t xml:space="preserve">EDG-0012</t>
  </si>
  <si>
    <t xml:space="preserve">EDG-0013</t>
  </si>
  <si>
    <t xml:space="preserve">EDG-0014</t>
  </si>
  <si>
    <t xml:space="preserve">EDG-0015</t>
  </si>
  <si>
    <t xml:space="preserve">EDG-0016</t>
  </si>
  <si>
    <t xml:space="preserve">EDG-0017</t>
  </si>
  <si>
    <t xml:space="preserve">EDG-0018</t>
  </si>
  <si>
    <t xml:space="preserve">EDG-0019</t>
  </si>
  <si>
    <t xml:space="preserve">EDG-0020</t>
  </si>
  <si>
    <t xml:space="preserve">EDG-0021</t>
  </si>
  <si>
    <t xml:space="preserve">EDG-0022</t>
  </si>
  <si>
    <t xml:space="preserve">global-write</t>
  </si>
  <si>
    <t xml:space="preserve">window.__sanctuaryMuted</t>
  </si>
  <si>
    <t xml:space="preserve">EDG-0023</t>
  </si>
  <si>
    <t xml:space="preserve">EDG-0024</t>
  </si>
  <si>
    <t xml:space="preserve">SanctuaryTravelDisc.js</t>
  </si>
  <si>
    <t xml:space="preserve">EDG-0025</t>
  </si>
  <si>
    <t xml:space="preserve">EDG-0026</t>
  </si>
  <si>
    <t xml:space="preserve">constants.js</t>
  </si>
  <si>
    <t xml:space="preserve">EDG-0027</t>
  </si>
  <si>
    <t xml:space="preserve">gltfLoaderSetup.js</t>
  </si>
  <si>
    <t xml:space="preserve">EDG-0028</t>
  </si>
  <si>
    <t xml:space="preserve">window.__sanctuaryAvatar</t>
  </si>
  <si>
    <t xml:space="preserve">EDG-0029</t>
  </si>
  <si>
    <t xml:space="preserve">window.__sanctuaryPlayerYaw</t>
  </si>
  <si>
    <t xml:space="preserve">EDG-0030</t>
  </si>
  <si>
    <t xml:space="preserve">asset</t>
  </si>
  <si>
    <t xml:space="preserve">Assets/Avatar3.glb</t>
  </si>
  <si>
    <t xml:space="preserve">EDG-0031</t>
  </si>
  <si>
    <t xml:space="preserve">Assets/npc/Avatar-New.glb</t>
  </si>
  <si>
    <t xml:space="preserve">EDG-0032</t>
  </si>
  <si>
    <t xml:space="preserve">EDG-0033</t>
  </si>
  <si>
    <t xml:space="preserve">EDG-0034</t>
  </si>
  <si>
    <t xml:space="preserve">window.__regenerateBraziers</t>
  </si>
  <si>
    <t xml:space="preserve">EDG-0035</t>
  </si>
  <si>
    <t xml:space="preserve">EDG-0036</t>
  </si>
  <si>
    <t xml:space="preserve">EDG-0037</t>
  </si>
  <si>
    <t xml:space="preserve">EDG-0038</t>
  </si>
  <si>
    <t xml:space="preserve">EDG-0039</t>
  </si>
  <si>
    <t xml:space="preserve">EDG-0040</t>
  </si>
  <si>
    <t xml:space="preserve">window.sanctuaryPulse</t>
  </si>
  <si>
    <t xml:space="preserve">EDG-0041</t>
  </si>
  <si>
    <t xml:space="preserve">EDG-0042</t>
  </si>
  <si>
    <t xml:space="preserve">EDG-0043</t>
  </si>
  <si>
    <t xml:space="preserve">EDG-0044</t>
  </si>
  <si>
    <t xml:space="preserve">window._v4CancelClickToMove</t>
  </si>
  <si>
    <t xml:space="preserve">EDG-0045</t>
  </si>
  <si>
    <t xml:space="preserve">window._v4SmartWalkTo</t>
  </si>
  <si>
    <t xml:space="preserve">EDG-0046</t>
  </si>
  <si>
    <t xml:space="preserve">window._v4WalkTo</t>
  </si>
  <si>
    <t xml:space="preserve">EDG-0047</t>
  </si>
  <si>
    <t xml:space="preserve">EDG-0048</t>
  </si>
  <si>
    <t xml:space="preserve">EDG-0049</t>
  </si>
  <si>
    <t xml:space="preserve">EDG-0050</t>
  </si>
  <si>
    <t xml:space="preserve">window.__sanctuaryMoldTool</t>
  </si>
  <si>
    <t xml:space="preserve">EDG-0051</t>
  </si>
  <si>
    <t xml:space="preserve">window._v4ToggleTopDown</t>
  </si>
  <si>
    <t xml:space="preserve">EDG-0052</t>
  </si>
  <si>
    <t xml:space="preserve">ANU_EVENTS.SANCTUARY_WORLD_STATE</t>
  </si>
  <si>
    <t xml:space="preserve">EDG-0053</t>
  </si>
  <si>
    <t xml:space="preserve">EDG-0054</t>
  </si>
  <si>
    <t xml:space="preserve">EDG-0055</t>
  </si>
  <si>
    <t xml:space="preserve">EDG-0056</t>
  </si>
  <si>
    <t xml:space="preserve">ANU_EVENTS.SEASON_CHANGE</t>
  </si>
  <si>
    <t xml:space="preserve">EDG-0057</t>
  </si>
  <si>
    <t xml:space="preserve">EDG-0058</t>
  </si>
  <si>
    <t xml:space="preserve">EDG-0059</t>
  </si>
  <si>
    <t xml:space="preserve">window.__regenerateDock</t>
  </si>
  <si>
    <t xml:space="preserve">EDG-0060</t>
  </si>
  <si>
    <t xml:space="preserve">window.__sanctuaryDockExtents</t>
  </si>
  <si>
    <t xml:space="preserve">EDG-0061</t>
  </si>
  <si>
    <t xml:space="preserve">window.__sanctuaryDockSurface</t>
  </si>
  <si>
    <t xml:space="preserve">EDG-0062</t>
  </si>
  <si>
    <t xml:space="preserve">window.__sanctuaryFishingSpot</t>
  </si>
  <si>
    <t xml:space="preserve">EDG-0063</t>
  </si>
  <si>
    <t xml:space="preserve">EDG-0064</t>
  </si>
  <si>
    <t xml:space="preserve">EDG-0065</t>
  </si>
  <si>
    <t xml:space="preserve">EDG-0066</t>
  </si>
  <si>
    <t xml:space="preserve">window.__sanctuaryDragonflies</t>
  </si>
  <si>
    <t xml:space="preserve">EDG-0067</t>
  </si>
  <si>
    <t xml:space="preserve">EDG-0068</t>
  </si>
  <si>
    <t xml:space="preserve">EDG-0069</t>
  </si>
  <si>
    <t xml:space="preserve">EDG-0070</t>
  </si>
  <si>
    <t xml:space="preserve">window.__sanctuaryFishCount</t>
  </si>
  <si>
    <t xml:space="preserve">EDG-0071</t>
  </si>
  <si>
    <t xml:space="preserve">window.__sanctuaryFishSchool</t>
  </si>
  <si>
    <t xml:space="preserve">EDG-0072</t>
  </si>
  <si>
    <t xml:space="preserve">window.__sanctuaryFishTemplate</t>
  </si>
  <si>
    <t xml:space="preserve">EDG-0073</t>
  </si>
  <si>
    <t xml:space="preserve">window.__sanctuaryFrogOnLily</t>
  </si>
  <si>
    <t xml:space="preserve">EDG-0074</t>
  </si>
  <si>
    <t xml:space="preserve">window.__sanctuarySpawnBabyFish</t>
  </si>
  <si>
    <t xml:space="preserve">EDG-0075</t>
  </si>
  <si>
    <t xml:space="preserve">EDG-0076</t>
  </si>
  <si>
    <t xml:space="preserve">EDG-0077</t>
  </si>
  <si>
    <t xml:space="preserve">EDG-0078</t>
  </si>
  <si>
    <t xml:space="preserve">EDG-0079</t>
  </si>
  <si>
    <t xml:space="preserve">TravelFloorCircleMaterials.js</t>
  </si>
  <si>
    <t xml:space="preserve">EDG-0080</t>
  </si>
  <si>
    <t xml:space="preserve">EDG-0081</t>
  </si>
  <si>
    <t xml:space="preserve">window.__interestedFish</t>
  </si>
  <si>
    <t xml:space="preserve">EDG-0082</t>
  </si>
  <si>
    <t xml:space="preserve">window.__sanctuaryBobberPos</t>
  </si>
  <si>
    <t xml:space="preserve">EDG-0083</t>
  </si>
  <si>
    <t xml:space="preserve">EDG-0084</t>
  </si>
  <si>
    <t xml:space="preserve">window.__sanctuaryFishingActive</t>
  </si>
  <si>
    <t xml:space="preserve">EDG-0085</t>
  </si>
  <si>
    <t xml:space="preserve">window.__sanctuaryFishingSpawnRipple</t>
  </si>
  <si>
    <t xml:space="preserve">EDG-0086</t>
  </si>
  <si>
    <t xml:space="preserve">window.__sanctuaryHasFishCaught</t>
  </si>
  <si>
    <t xml:space="preserve">EDG-0087</t>
  </si>
  <si>
    <t xml:space="preserve">EDG-0088</t>
  </si>
  <si>
    <t xml:space="preserve">window._v2InputSuppressed</t>
  </si>
  <si>
    <t xml:space="preserve">EDG-0089</t>
  </si>
  <si>
    <t xml:space="preserve">window._v4InputSuppressed</t>
  </si>
  <si>
    <t xml:space="preserve">EDG-0090</t>
  </si>
  <si>
    <t xml:space="preserve">window._v4StartFishing</t>
  </si>
  <si>
    <t xml:space="preserve">EDG-0091</t>
  </si>
  <si>
    <t xml:space="preserve">window.sanctuaryFishingFocus</t>
  </si>
  <si>
    <t xml:space="preserve">EDG-0092</t>
  </si>
  <si>
    <t xml:space="preserve">Legacy/unused</t>
  </si>
  <si>
    <t xml:space="preserve">EDG-0093</t>
  </si>
  <si>
    <t xml:space="preserve">EDG-0094</t>
  </si>
  <si>
    <t xml:space="preserve">window.__sanctuaryFloraTimeUniform</t>
  </si>
  <si>
    <t xml:space="preserve">EDG-0095</t>
  </si>
  <si>
    <t xml:space="preserve">window.__sanctuaryTreesHidden</t>
  </si>
  <si>
    <t xml:space="preserve">EDG-0096</t>
  </si>
  <si>
    <t xml:space="preserve">EDG-0097</t>
  </si>
  <si>
    <t xml:space="preserve">EDG-0098</t>
  </si>
  <si>
    <t xml:space="preserve">EDG-0099</t>
  </si>
  <si>
    <t xml:space="preserve">window.__sanctuaryFrogs</t>
  </si>
  <si>
    <t xml:space="preserve">EDG-0100</t>
  </si>
  <si>
    <t xml:space="preserve">window.__sanctuaryFrogsRegenerate</t>
  </si>
  <si>
    <t xml:space="preserve">EDG-0101</t>
  </si>
  <si>
    <t xml:space="preserve">SanctuarySceneConstructor.js</t>
  </si>
  <si>
    <t xml:space="preserve">EDG-0102</t>
  </si>
  <si>
    <t xml:space="preserve">EDG-0103</t>
  </si>
  <si>
    <t xml:space="preserve">EDG-0104</t>
  </si>
  <si>
    <t xml:space="preserve">EDG-0105</t>
  </si>
  <si>
    <t xml:space="preserve">EDG-0106</t>
  </si>
  <si>
    <t xml:space="preserve">EDG-0107</t>
  </si>
  <si>
    <t xml:space="preserve">EDG-0108</t>
  </si>
  <si>
    <t xml:space="preserve">EDG-0109</t>
  </si>
  <si>
    <t xml:space="preserve">window.sanctuaryGrant</t>
  </si>
  <si>
    <t xml:space="preserve">EDG-0110</t>
  </si>
  <si>
    <t xml:space="preserve">window.sanctuaryInventory</t>
  </si>
  <si>
    <t xml:space="preserve">EDG-0111</t>
  </si>
  <si>
    <t xml:space="preserve">ANU_EVENTS.ITEM_EVENT</t>
  </si>
  <si>
    <t xml:space="preserve">EDG-0112</t>
  </si>
  <si>
    <t xml:space="preserve">EDG-0113</t>
  </si>
  <si>
    <t xml:space="preserve">EDG-0114</t>
  </si>
  <si>
    <t xml:space="preserve">window.sanctuaryJournalBridge</t>
  </si>
  <si>
    <t xml:space="preserve">EDG-0115</t>
  </si>
  <si>
    <t xml:space="preserve">SanctuaryClickToMove.js</t>
  </si>
  <si>
    <t xml:space="preserve">EDG-0116</t>
  </si>
  <si>
    <t xml:space="preserve">EDG-0117</t>
  </si>
  <si>
    <t xml:space="preserve">EDG-0118</t>
  </si>
  <si>
    <t xml:space="preserve">EDG-0119</t>
  </si>
  <si>
    <t xml:space="preserve">EDG-0120</t>
  </si>
  <si>
    <t xml:space="preserve">EDG-0121</t>
  </si>
  <si>
    <t xml:space="preserve">window.SanctuaryMutations</t>
  </si>
  <si>
    <t xml:space="preserve">EDG-0122</t>
  </si>
  <si>
    <t xml:space="preserve">ANU_EVENTS.SANCTUARY_MOLD</t>
  </si>
  <si>
    <t xml:space="preserve">EDG-0123</t>
  </si>
  <si>
    <t xml:space="preserve">EDG-0124</t>
  </si>
  <si>
    <t xml:space="preserve">EDG-0125</t>
  </si>
  <si>
    <t xml:space="preserve">Assets/bush.glb</t>
  </si>
  <si>
    <t xml:space="preserve">EDG-0126</t>
  </si>
  <si>
    <t xml:space="preserve">Assets/flora/reeds.glb</t>
  </si>
  <si>
    <t xml:space="preserve">EDG-0127</t>
  </si>
  <si>
    <t xml:space="preserve">EDG-0128</t>
  </si>
  <si>
    <t xml:space="preserve">EDG-0129</t>
  </si>
  <si>
    <t xml:space="preserve">EDG-0130</t>
  </si>
  <si>
    <t xml:space="preserve">EDG-0131</t>
  </si>
  <si>
    <t xml:space="preserve">EDG-0132</t>
  </si>
  <si>
    <t xml:space="preserve">window.__sanctuaryLilyPads</t>
  </si>
  <si>
    <t xml:space="preserve">EDG-0133</t>
  </si>
  <si>
    <t xml:space="preserve">window.__sanctuaryWaterY</t>
  </si>
  <si>
    <t xml:space="preserve">EDG-0134</t>
  </si>
  <si>
    <t xml:space="preserve">EDG-0135</t>
  </si>
  <si>
    <t xml:space="preserve">EDG-0136</t>
  </si>
  <si>
    <t xml:space="preserve">WorldStructures.js</t>
  </si>
  <si>
    <t xml:space="preserve">EDG-0137</t>
  </si>
  <si>
    <t xml:space="preserve">EDG-0138</t>
  </si>
  <si>
    <t xml:space="preserve">EDG-0139</t>
  </si>
  <si>
    <t xml:space="preserve">EDG-0140</t>
  </si>
  <si>
    <t xml:space="preserve">EDG-0141</t>
  </si>
  <si>
    <t xml:space="preserve">window.__regenerateTipiNpcs</t>
  </si>
  <si>
    <t xml:space="preserve">EDG-0142</t>
  </si>
  <si>
    <t xml:space="preserve">Assets/NPC.BHG.glb</t>
  </si>
  <si>
    <t xml:space="preserve">EDG-0143</t>
  </si>
  <si>
    <t xml:space="preserve">Assets/NPC.REG.lite.glb</t>
  </si>
  <si>
    <t xml:space="preserve">EDG-0144</t>
  </si>
  <si>
    <t xml:space="preserve">Assets/NPC.YB.glb</t>
  </si>
  <si>
    <t xml:space="preserve">EDG-0145</t>
  </si>
  <si>
    <t xml:space="preserve">EDG-0146</t>
  </si>
  <si>
    <t xml:space="preserve">WorldSacredPlatform.js</t>
  </si>
  <si>
    <t xml:space="preserve">EDG-0147</t>
  </si>
  <si>
    <t xml:space="preserve">EDG-0148</t>
  </si>
  <si>
    <t xml:space="preserve">EDG-0149</t>
  </si>
  <si>
    <t xml:space="preserve">EDG-0150</t>
  </si>
  <si>
    <t xml:space="preserve">EDG-0151</t>
  </si>
  <si>
    <t xml:space="preserve">window.__regenerateTipis</t>
  </si>
  <si>
    <t xml:space="preserve">EDG-0152</t>
  </si>
  <si>
    <t xml:space="preserve">window.__sanctuaryTipi1Anchor</t>
  </si>
  <si>
    <t xml:space="preserve">EDG-0153</t>
  </si>
  <si>
    <t xml:space="preserve">window.__sanctuaryTipi1DeckTopY</t>
  </si>
  <si>
    <t xml:space="preserve">EDG-0154</t>
  </si>
  <si>
    <t xml:space="preserve">window.__sanctuaryTipi1PlatMesh</t>
  </si>
  <si>
    <t xml:space="preserve">EDG-0155</t>
  </si>
  <si>
    <t xml:space="preserve">window.__sanctuaryTipi1Yaw</t>
  </si>
  <si>
    <t xml:space="preserve">EDG-0156</t>
  </si>
  <si>
    <t xml:space="preserve">window.__sanctuaryTipi2Anchor</t>
  </si>
  <si>
    <t xml:space="preserve">EDG-0157</t>
  </si>
  <si>
    <t xml:space="preserve">window.__sanctuaryTipi2DeckTopY</t>
  </si>
  <si>
    <t xml:space="preserve">EDG-0158</t>
  </si>
  <si>
    <t xml:space="preserve">window.__sanctuaryTipi2PlatMesh</t>
  </si>
  <si>
    <t xml:space="preserve">EDG-0159</t>
  </si>
  <si>
    <t xml:space="preserve">window.__sanctuaryTipi2Yaw</t>
  </si>
  <si>
    <t xml:space="preserve">EDG-0160</t>
  </si>
  <si>
    <t xml:space="preserve">window.__sanctuaryTipi3Anchor</t>
  </si>
  <si>
    <t xml:space="preserve">EDG-0161</t>
  </si>
  <si>
    <t xml:space="preserve">window.__sanctuaryTipi3DeckTopY</t>
  </si>
  <si>
    <t xml:space="preserve">EDG-0162</t>
  </si>
  <si>
    <t xml:space="preserve">window.__sanctuaryTipi3PlatMesh</t>
  </si>
  <si>
    <t xml:space="preserve">EDG-0163</t>
  </si>
  <si>
    <t xml:space="preserve">window.__sanctuaryTipi3Yaw</t>
  </si>
  <si>
    <t xml:space="preserve">EDG-0164</t>
  </si>
  <si>
    <t xml:space="preserve">window.__sanctuaryTipi4Anchor</t>
  </si>
  <si>
    <t xml:space="preserve">EDG-0165</t>
  </si>
  <si>
    <t xml:space="preserve">window.__sanctuaryTipi4DeckTopY</t>
  </si>
  <si>
    <t xml:space="preserve">EDG-0166</t>
  </si>
  <si>
    <t xml:space="preserve">window.__sanctuaryTipi4PlatMesh</t>
  </si>
  <si>
    <t xml:space="preserve">EDG-0167</t>
  </si>
  <si>
    <t xml:space="preserve">window.__sanctuaryTipi4Yaw</t>
  </si>
  <si>
    <t xml:space="preserve">EDG-0168</t>
  </si>
  <si>
    <t xml:space="preserve">window.sanctuaryMoveTipi</t>
  </si>
  <si>
    <t xml:space="preserve">EDG-0169</t>
  </si>
  <si>
    <t xml:space="preserve">EDG-0170</t>
  </si>
  <si>
    <t xml:space="preserve">EDG-0171</t>
  </si>
  <si>
    <t xml:space="preserve">window.__sanctuaryMapType</t>
  </si>
  <si>
    <t xml:space="preserve">EDG-0172</t>
  </si>
  <si>
    <t xml:space="preserve">EDG-0173</t>
  </si>
  <si>
    <t xml:space="preserve">EDG-0174</t>
  </si>
  <si>
    <t xml:space="preserve">EDG-0175</t>
  </si>
  <si>
    <t xml:space="preserve">EDG-0176</t>
  </si>
  <si>
    <t xml:space="preserve">EDG-0177</t>
  </si>
  <si>
    <t xml:space="preserve">EDG-0178</t>
  </si>
  <si>
    <t xml:space="preserve">window.__sanctuaryVillagePad</t>
  </si>
  <si>
    <t xml:space="preserve">EDG-0179</t>
  </si>
  <si>
    <t xml:space="preserve">EDG-0180</t>
  </si>
  <si>
    <t xml:space="preserve">EDG-0181</t>
  </si>
  <si>
    <t xml:space="preserve">Assets/sounds/avatar-walking.mp3</t>
  </si>
  <si>
    <t xml:space="preserve">EDG-0182</t>
  </si>
  <si>
    <t xml:space="preserve">Assets/sounds/water-walking.mp3</t>
  </si>
  <si>
    <t xml:space="preserve">EDG-0183</t>
  </si>
  <si>
    <t xml:space="preserve">EDG-0184</t>
  </si>
  <si>
    <t xml:space="preserve">window.sanctuaryWelcome</t>
  </si>
  <si>
    <t xml:space="preserve">EDG-0185</t>
  </si>
  <si>
    <t xml:space="preserve">RuntimeServices.js</t>
  </si>
  <si>
    <t xml:space="preserve">EDG-0186</t>
  </si>
  <si>
    <t xml:space="preserve">window.WorldPhysics</t>
  </si>
  <si>
    <t xml:space="preserve">EDG-0187</t>
  </si>
  <si>
    <t xml:space="preserve">window.WorldPlayer</t>
  </si>
  <si>
    <t xml:space="preserve">EDG-0188</t>
  </si>
  <si>
    <t xml:space="preserve">service-register</t>
  </si>
  <si>
    <t xml:space="preserve">service:WorldPlayer</t>
  </si>
  <si>
    <t xml:space="preserve">EDG-0189</t>
  </si>
  <si>
    <t xml:space="preserve">service-use</t>
  </si>
  <si>
    <t xml:space="preserve">EDG-0190</t>
  </si>
  <si>
    <t xml:space="preserve">EDG-0191</t>
  </si>
  <si>
    <t xml:space="preserve">EDG-0192</t>
  </si>
  <si>
    <t xml:space="preserve">EDG-0193</t>
  </si>
  <si>
    <t xml:space="preserve">EDG-0194</t>
  </si>
  <si>
    <t xml:space="preserve">ANU_EVENTS.SOMETHING</t>
  </si>
  <si>
    <t xml:space="preserve">EDG-0195</t>
  </si>
  <si>
    <t xml:space="preserve">postMessage</t>
  </si>
  <si>
    <t xml:space="preserve">msg:MY_KID_WORLD_HELLO</t>
  </si>
  <si>
    <t xml:space="preserve">EDG-0196</t>
  </si>
  <si>
    <t xml:space="preserve">msg:YOUR_EVENT</t>
  </si>
  <si>
    <t xml:space="preserve">EDG-0197</t>
  </si>
  <si>
    <t xml:space="preserve">window.__sanctuaryTopDownHeight</t>
  </si>
  <si>
    <t xml:space="preserve">EDG-0198</t>
  </si>
  <si>
    <t xml:space="preserve">window.__sanctuaryZoomFactor</t>
  </si>
  <si>
    <t xml:space="preserve">EDG-0199</t>
  </si>
  <si>
    <t xml:space="preserve">EDG-0200</t>
  </si>
  <si>
    <t xml:space="preserve">EDG-0201</t>
  </si>
  <si>
    <t xml:space="preserve">index.js</t>
  </si>
  <si>
    <t xml:space="preserve">EDG-0202</t>
  </si>
  <si>
    <t xml:space="preserve">pipelineMemory.js</t>
  </si>
  <si>
    <t xml:space="preserve">EDG-0203</t>
  </si>
  <si>
    <t xml:space="preserve">EDG-0204</t>
  </si>
  <si>
    <t xml:space="preserve">window.AnuUniverse</t>
  </si>
  <si>
    <t xml:space="preserve">EDG-0205</t>
  </si>
  <si>
    <t xml:space="preserve">ANU_EVENTS.FUZZY_PIPELINE_SENSOR</t>
  </si>
  <si>
    <t xml:space="preserve">EDG-0206</t>
  </si>
  <si>
    <t xml:space="preserve">ANU_EVENTS.GOVERNANCE_SNAPSHOT</t>
  </si>
  <si>
    <t xml:space="preserve">EDG-0207</t>
  </si>
  <si>
    <t xml:space="preserve">ANU_EVENTS.WORLD_SENSORIUM</t>
  </si>
  <si>
    <t xml:space="preserve">EDG-0208</t>
  </si>
  <si>
    <t xml:space="preserve">MapsConfig.js</t>
  </si>
  <si>
    <t xml:space="preserve">EDG-0209</t>
  </si>
  <si>
    <t xml:space="preserve">EDG-0210</t>
  </si>
  <si>
    <t xml:space="preserve">WorldMossyRock.js</t>
  </si>
  <si>
    <t xml:space="preserve">EDG-0211</t>
  </si>
  <si>
    <t xml:space="preserve">EDG-0212</t>
  </si>
  <si>
    <t xml:space="preserve">EDG-0213</t>
  </si>
  <si>
    <t xml:space="preserve">window._v2BuildClear</t>
  </si>
  <si>
    <t xml:space="preserve">EDG-0214</t>
  </si>
  <si>
    <t xml:space="preserve">EDG-0215</t>
  </si>
  <si>
    <t xml:space="preserve">EDG-0216</t>
  </si>
  <si>
    <t xml:space="preserve">EDG-0217</t>
  </si>
  <si>
    <t xml:space="preserve">service:WorldPhysics</t>
  </si>
  <si>
    <t xml:space="preserve">EDG-0218</t>
  </si>
  <si>
    <t xml:space="preserve">EDG-0219</t>
  </si>
  <si>
    <t xml:space="preserve">EDG-0220</t>
  </si>
  <si>
    <t xml:space="preserve">WorldTerrain.js</t>
  </si>
  <si>
    <t xml:space="preserve">EDG-0221</t>
  </si>
  <si>
    <t xml:space="preserve">EDG-0222</t>
  </si>
  <si>
    <t xml:space="preserve">EDG-0223</t>
  </si>
  <si>
    <t xml:space="preserve">service:AnuNatureAwareness</t>
  </si>
  <si>
    <t xml:space="preserve">EDG-0224</t>
  </si>
  <si>
    <t xml:space="preserve">EDG-0225</t>
  </si>
  <si>
    <t xml:space="preserve">EDG-0226</t>
  </si>
  <si>
    <t xml:space="preserve">EDG-0227</t>
  </si>
  <si>
    <t xml:space="preserve">FloraLegacyTreeLayout.js</t>
  </si>
  <si>
    <t xml:space="preserve">EDG-0228</t>
  </si>
  <si>
    <t xml:space="preserve">EDG-0229</t>
  </si>
  <si>
    <t xml:space="preserve">EDG-0230</t>
  </si>
  <si>
    <t xml:space="preserve">EDG-0231</t>
  </si>
  <si>
    <t xml:space="preserve">PipOrthoRingDiskClip.js</t>
  </si>
  <si>
    <t xml:space="preserve">EDG-0232</t>
  </si>
  <si>
    <t xml:space="preserve">EDG-0233</t>
  </si>
  <si>
    <t xml:space="preserve">EDG-0234</t>
  </si>
  <si>
    <t xml:space="preserve">EDG-0235</t>
  </si>
  <si>
    <t xml:space="preserve">EDG-0236</t>
  </si>
  <si>
    <t xml:space="preserve">anu-event-subscribe</t>
  </si>
  <si>
    <t xml:space="preserve">EDG-0237</t>
  </si>
  <si>
    <t xml:space="preserve">EDG-0238</t>
  </si>
  <si>
    <t xml:space="preserve">EDG-0239</t>
  </si>
  <si>
    <t xml:space="preserve">EDG-0240</t>
  </si>
  <si>
    <t xml:space="preserve">EDG-0241</t>
  </si>
  <si>
    <t xml:space="preserve">window._v2ActiveMap</t>
  </si>
  <si>
    <t xml:space="preserve">EDG-0242</t>
  </si>
  <si>
    <t xml:space="preserve">window._v2ListMaps</t>
  </si>
  <si>
    <t xml:space="preserve">EDG-0243</t>
  </si>
  <si>
    <t xml:space="preserve">window._v2SetMap</t>
  </si>
  <si>
    <t xml:space="preserve">EDG-0244</t>
  </si>
  <si>
    <t xml:space="preserve">EDG-0245</t>
  </si>
  <si>
    <t xml:space="preserve">EDG-0246</t>
  </si>
  <si>
    <t xml:space="preserve">EDG-0247</t>
  </si>
  <si>
    <t xml:space="preserve">ANU_EVENTS.PLAYER_NPC_GREETING</t>
  </si>
  <si>
    <t xml:space="preserve">EDG-0248</t>
  </si>
  <si>
    <t xml:space="preserve">OrchestratorHud.js</t>
  </si>
  <si>
    <t xml:space="preserve">EDG-0249</t>
  </si>
  <si>
    <t xml:space="preserve">EDG-0250</t>
  </si>
  <si>
    <t xml:space="preserve">AdaptiveRenderPolicy.js</t>
  </si>
  <si>
    <t xml:space="preserve">EDG-0251</t>
  </si>
  <si>
    <t xml:space="preserve">AnuErrorAndStressLedger.js</t>
  </si>
  <si>
    <t xml:space="preserve">EDG-0252</t>
  </si>
  <si>
    <t xml:space="preserve">AnuNatureAwareness.js</t>
  </si>
  <si>
    <t xml:space="preserve">EDG-0253</t>
  </si>
  <si>
    <t xml:space="preserve">EDG-0254</t>
  </si>
  <si>
    <t xml:space="preserve">EDG-0255</t>
  </si>
  <si>
    <t xml:space="preserve">EDG-0256</t>
  </si>
  <si>
    <t xml:space="preserve">EDG-0257</t>
  </si>
  <si>
    <t xml:space="preserve">SceneModelInventory.js</t>
  </si>
  <si>
    <t xml:space="preserve">EDG-0258</t>
  </si>
  <si>
    <t xml:space="preserve">EDG-0259</t>
  </si>
  <si>
    <t xml:space="preserve">EDG-0260</t>
  </si>
  <si>
    <t xml:space="preserve">window.Orchestrator</t>
  </si>
  <si>
    <t xml:space="preserve">EDG-0261</t>
  </si>
  <si>
    <t xml:space="preserve">window.__isRenderingPip</t>
  </si>
  <si>
    <t xml:space="preserve">EDG-0262</t>
  </si>
  <si>
    <t xml:space="preserve">window.__mobileTexCap</t>
  </si>
  <si>
    <t xml:space="preserve">EDG-0263</t>
  </si>
  <si>
    <t xml:space="preserve">window.anuOrchestrator</t>
  </si>
  <si>
    <t xml:space="preserve">EDG-0264</t>
  </si>
  <si>
    <t xml:space="preserve">ANU_EVENTS.MODULE_ACTIVATED</t>
  </si>
  <si>
    <t xml:space="preserve">EDG-0265</t>
  </si>
  <si>
    <t xml:space="preserve">ANU_EVENTS.MODULE_DEACTIVATED</t>
  </si>
  <si>
    <t xml:space="preserve">EDG-0266</t>
  </si>
  <si>
    <t xml:space="preserve">ANU_EVENTS.ORCHESTRATOR_BENCH_COMPLETE</t>
  </si>
  <si>
    <t xml:space="preserve">EDG-0267</t>
  </si>
  <si>
    <t xml:space="preserve">service:PipOrthoBranchClip</t>
  </si>
  <si>
    <t xml:space="preserve">EDG-0268</t>
  </si>
  <si>
    <t xml:space="preserve">EDG-0269</t>
  </si>
  <si>
    <t xml:space="preserve">EDG-0270</t>
  </si>
  <si>
    <t xml:space="preserve">EDG-0271</t>
  </si>
  <si>
    <t xml:space="preserve">AnuGovernanceRules.js</t>
  </si>
  <si>
    <t xml:space="preserve">EDG-0272</t>
  </si>
  <si>
    <t xml:space="preserve">EDG-0273</t>
  </si>
  <si>
    <t xml:space="preserve">EDG-0274</t>
  </si>
  <si>
    <t xml:space="preserve">EDG-0275</t>
  </si>
  <si>
    <t xml:space="preserve">window._v2SyncVillageViewRightStack</t>
  </si>
  <si>
    <t xml:space="preserve">EDG-0276</t>
  </si>
  <si>
    <t xml:space="preserve">window._v4GetPipelineTrace</t>
  </si>
  <si>
    <t xml:space="preserve">EDG-0277</t>
  </si>
  <si>
    <t xml:space="preserve">service:WebFontsService</t>
  </si>
  <si>
    <t xml:space="preserve">EDG-0278</t>
  </si>
  <si>
    <t xml:space="preserve">EDG-0279</t>
  </si>
  <si>
    <t xml:space="preserve">EDG-0280</t>
  </si>
  <si>
    <t xml:space="preserve">Flora.js</t>
  </si>
  <si>
    <t xml:space="preserve">EDG-0281</t>
  </si>
  <si>
    <t xml:space="preserve">EDG-0282</t>
  </si>
  <si>
    <t xml:space="preserve">EDG-0283</t>
  </si>
  <si>
    <t xml:space="preserve">pipCompassMath.js</t>
  </si>
  <si>
    <t xml:space="preserve">EDG-0284</t>
  </si>
  <si>
    <t xml:space="preserve">EDG-0285</t>
  </si>
  <si>
    <t xml:space="preserve">EDG-0286</t>
  </si>
  <si>
    <t xml:space="preserve">msg:TOGGLE_VIEW_MODE</t>
  </si>
  <si>
    <t xml:space="preserve">EDG-0287</t>
  </si>
  <si>
    <t xml:space="preserve">AnuModule.js</t>
  </si>
  <si>
    <t xml:space="preserve">EDG-0288</t>
  </si>
  <si>
    <t xml:space="preserve">EDG-0289</t>
  </si>
  <si>
    <t xml:space="preserve">V2IconRenderer.js</t>
  </si>
  <si>
    <t xml:space="preserve">EDG-0290</t>
  </si>
  <si>
    <t xml:space="preserve">EDG-0291</t>
  </si>
  <si>
    <t xml:space="preserve">EDG-0292</t>
  </si>
  <si>
    <t xml:space="preserve">window.AXE_GLB_BASE64</t>
  </si>
  <si>
    <t xml:space="preserve">EDG-0293</t>
  </si>
  <si>
    <t xml:space="preserve">window.THREE</t>
  </si>
  <si>
    <t xml:space="preserve">EDG-0294</t>
  </si>
  <si>
    <t xml:space="preserve">window.icons</t>
  </si>
  <si>
    <t xml:space="preserve">EDG-0295</t>
  </si>
  <si>
    <t xml:space="preserve">EDG-0296</t>
  </si>
  <si>
    <t xml:space="preserve">EDG-0297</t>
  </si>
  <si>
    <t xml:space="preserve">EDG-0298</t>
  </si>
  <si>
    <t xml:space="preserve">EDG-0299</t>
  </si>
  <si>
    <t xml:space="preserve">EDG-0300</t>
  </si>
  <si>
    <t xml:space="preserve">EDG-0301</t>
  </si>
  <si>
    <t xml:space="preserve">EDG-0302</t>
  </si>
  <si>
    <t xml:space="preserve">EDG-0303</t>
  </si>
  <si>
    <t xml:space="preserve">EDG-0304</t>
  </si>
  <si>
    <t xml:space="preserve">ClickToMoveMarker.js</t>
  </si>
  <si>
    <t xml:space="preserve">EDG-0305</t>
  </si>
  <si>
    <t xml:space="preserve">EDG-0306</t>
  </si>
  <si>
    <t xml:space="preserve">EDG-0307</t>
  </si>
  <si>
    <t xml:space="preserve">WorldAvatar.js</t>
  </si>
  <si>
    <t xml:space="preserve">EDG-0308</t>
  </si>
  <si>
    <t xml:space="preserve">WorldCelestial.js</t>
  </si>
  <si>
    <t xml:space="preserve">EDG-0309</t>
  </si>
  <si>
    <t xml:space="preserve">WorldNatureSpirit.js</t>
  </si>
  <si>
    <t xml:space="preserve">EDG-0310</t>
  </si>
  <si>
    <t xml:space="preserve">WorldPhysics.js</t>
  </si>
  <si>
    <t xml:space="preserve">EDG-0311</t>
  </si>
  <si>
    <t xml:space="preserve">WorldPlayerController.js</t>
  </si>
  <si>
    <t xml:space="preserve">EDG-0312</t>
  </si>
  <si>
    <t xml:space="preserve">EDG-0313</t>
  </si>
  <si>
    <t xml:space="preserve">EDG-0314</t>
  </si>
  <si>
    <t xml:space="preserve">EDG-0315</t>
  </si>
  <si>
    <t xml:space="preserve">EDG-0316</t>
  </si>
  <si>
    <t xml:space="preserve">EDG-0317</t>
  </si>
  <si>
    <t xml:space="preserve">EDG-0318</t>
  </si>
  <si>
    <t xml:space="preserve">EDG-0319</t>
  </si>
  <si>
    <t xml:space="preserve">EDG-0320</t>
  </si>
  <si>
    <t xml:space="preserve">window._terrainHeightCache</t>
  </si>
  <si>
    <t xml:space="preserve">EDG-0321</t>
  </si>
  <si>
    <t xml:space="preserve">window._v2StoneAxeInInventory</t>
  </si>
  <si>
    <t xml:space="preserve">EDG-0322</t>
  </si>
  <si>
    <t xml:space="preserve">ANU_EVENTS.PLAYER_JUMP</t>
  </si>
  <si>
    <t xml:space="preserve">EDG-0323</t>
  </si>
  <si>
    <t xml:space="preserve">ANU_EVENTS.PLAYER_STATE_SAMPLE</t>
  </si>
  <si>
    <t xml:space="preserve">EDG-0324</t>
  </si>
  <si>
    <t xml:space="preserve">EDG-0325</t>
  </si>
  <si>
    <t xml:space="preserve">EDG-0326</t>
  </si>
  <si>
    <t xml:space="preserve">EDG-0327</t>
  </si>
  <si>
    <t xml:space="preserve">EDG-0328</t>
  </si>
  <si>
    <t xml:space="preserve">EDG-0329</t>
  </si>
  <si>
    <t xml:space="preserve">EDG-0330</t>
  </si>
  <si>
    <t xml:space="preserve">EDG-0331</t>
  </si>
  <si>
    <t xml:space="preserve">EDG-0332</t>
  </si>
  <si>
    <t xml:space="preserve">EDG-0333</t>
  </si>
  <si>
    <t xml:space="preserve">ANU_EVENTS.PLAYER_AVATAR_ANIMATION</t>
  </si>
  <si>
    <t xml:space="preserve">EDG-0334</t>
  </si>
  <si>
    <t xml:space="preserve">EDG-0335</t>
  </si>
  <si>
    <t xml:space="preserve">EDG-0336</t>
  </si>
  <si>
    <t xml:space="preserve">EDG-0337</t>
  </si>
  <si>
    <t xml:space="preserve">EDG-0338</t>
  </si>
  <si>
    <t xml:space="preserve">lunarPhase.js</t>
  </si>
  <si>
    <t xml:space="preserve">EDG-0339</t>
  </si>
  <si>
    <t xml:space="preserve">ANU_EVENTS.LUNAR_PHASE</t>
  </si>
  <si>
    <t xml:space="preserve">EDG-0340</t>
  </si>
  <si>
    <t xml:space="preserve">EDG-0341</t>
  </si>
  <si>
    <t xml:space="preserve">EDG-0342</t>
  </si>
  <si>
    <t xml:space="preserve">EDG-0343</t>
  </si>
  <si>
    <t xml:space="preserve">EDG-0344</t>
  </si>
  <si>
    <t xml:space="preserve">EDG-0345</t>
  </si>
  <si>
    <t xml:space="preserve">EDG-0346</t>
  </si>
  <si>
    <t xml:space="preserve">window._v2FishingActive</t>
  </si>
  <si>
    <t xml:space="preserve">EDG-0347</t>
  </si>
  <si>
    <t xml:space="preserve">window._v2FishingCameraOverride</t>
  </si>
  <si>
    <t xml:space="preserve">EDG-0348</t>
  </si>
  <si>
    <t xml:space="preserve">window._v2FishingCameraReleased</t>
  </si>
  <si>
    <t xml:space="preserve">EDG-0349</t>
  </si>
  <si>
    <t xml:space="preserve">window._v2FishingEngaged</t>
  </si>
  <si>
    <t xml:space="preserve">EDG-0350</t>
  </si>
  <si>
    <t xml:space="preserve">window._v2FishingPoint</t>
  </si>
  <si>
    <t xml:space="preserve">EDG-0351</t>
  </si>
  <si>
    <t xml:space="preserve">window._v2PoolFishTemplate</t>
  </si>
  <si>
    <t xml:space="preserve">EDG-0352</t>
  </si>
  <si>
    <t xml:space="preserve">EDG-0353</t>
  </si>
  <si>
    <t xml:space="preserve">EDG-0354</t>
  </si>
  <si>
    <t xml:space="preserve">EDG-0355</t>
  </si>
  <si>
    <t xml:space="preserve">EDG-0356</t>
  </si>
  <si>
    <t xml:space="preserve">EDG-0357</t>
  </si>
  <si>
    <t xml:space="preserve">EDG-0358</t>
  </si>
  <si>
    <t xml:space="preserve">EDG-0359</t>
  </si>
  <si>
    <t xml:space="preserve">EDG-0360</t>
  </si>
  <si>
    <t xml:space="preserve">EDG-0361</t>
  </si>
  <si>
    <t xml:space="preserve">EDG-0362</t>
  </si>
  <si>
    <t xml:space="preserve">window.natureSpiritSystem</t>
  </si>
  <si>
    <t xml:space="preserve">EDG-0363</t>
  </si>
  <si>
    <t xml:space="preserve">ANU_EVENTS.NPC_ENTITY</t>
  </si>
  <si>
    <t xml:space="preserve">EDG-0364</t>
  </si>
  <si>
    <t xml:space="preserve">EDG-0365</t>
  </si>
  <si>
    <t xml:space="preserve">EDG-0366</t>
  </si>
  <si>
    <t xml:space="preserve">EDG-0367</t>
  </si>
  <si>
    <t xml:space="preserve">ANU_EVENTS.PLAYER_KEY_EDGE</t>
  </si>
  <si>
    <t xml:space="preserve">EDG-0368</t>
  </si>
  <si>
    <t xml:space="preserve">EDG-0369</t>
  </si>
  <si>
    <t xml:space="preserve">EDG-0370</t>
  </si>
  <si>
    <t xml:space="preserve">EDG-0371</t>
  </si>
  <si>
    <t xml:space="preserve">EDG-0372</t>
  </si>
  <si>
    <t xml:space="preserve">EDG-0373</t>
  </si>
  <si>
    <t xml:space="preserve">EDG-0374</t>
  </si>
  <si>
    <t xml:space="preserve">EDG-0375</t>
  </si>
  <si>
    <t xml:space="preserve">EDG-0376</t>
  </si>
  <si>
    <t xml:space="preserve">EDG-0377</t>
  </si>
  <si>
    <t xml:space="preserve">window._v2PoolFish</t>
  </si>
  <si>
    <t xml:space="preserve">EDG-0378</t>
  </si>
  <si>
    <t xml:space="preserve">EDG-0379</t>
  </si>
  <si>
    <t xml:space="preserve">EDG-0380</t>
  </si>
  <si>
    <t xml:space="preserve">EDG-0381</t>
  </si>
  <si>
    <t xml:space="preserve">EDG-0382</t>
  </si>
  <si>
    <t xml:space="preserve">EDG-0383</t>
  </si>
  <si>
    <t xml:space="preserve">EDG-0384</t>
  </si>
  <si>
    <t xml:space="preserve">EDG-0385</t>
  </si>
  <si>
    <t xml:space="preserve">EDG-0386</t>
  </si>
  <si>
    <t xml:space="preserve">EDG-0387</t>
  </si>
  <si>
    <t xml:space="preserve">EDG-0388</t>
  </si>
  <si>
    <t xml:space="preserve">EDG-0389</t>
  </si>
  <si>
    <t xml:space="preserve">EDG-0390</t>
  </si>
  <si>
    <t xml:space="preserve">EDG-0391</t>
  </si>
  <si>
    <t xml:space="preserve">NPCBehaviour.js</t>
  </si>
  <si>
    <t xml:space="preserve">EDG-0392</t>
  </si>
  <si>
    <t xml:space="preserve">EDG-0393</t>
  </si>
  <si>
    <t xml:space="preserve">TipiCampfire.js</t>
  </si>
  <si>
    <t xml:space="preserve">EDG-0394</t>
  </si>
  <si>
    <t xml:space="preserve">EDG-0395</t>
  </si>
  <si>
    <t xml:space="preserve">EDG-0396</t>
  </si>
  <si>
    <t xml:space="preserve">EDG-0397</t>
  </si>
  <si>
    <t xml:space="preserve">WorldTipiJournalBalloon.js</t>
  </si>
  <si>
    <t xml:space="preserve">EDG-0398</t>
  </si>
  <si>
    <t xml:space="preserve">EDG-0399</t>
  </si>
  <si>
    <t xml:space="preserve">EDG-0400</t>
  </si>
  <si>
    <t xml:space="preserve">EDG-0401</t>
  </si>
  <si>
    <t xml:space="preserve">EDG-0402</t>
  </si>
  <si>
    <t xml:space="preserve">EDG-0403</t>
  </si>
  <si>
    <t xml:space="preserve">window._tipiPlatformY</t>
  </si>
  <si>
    <t xml:space="preserve">EDG-0404</t>
  </si>
  <si>
    <t xml:space="preserve">EDG-0405</t>
  </si>
  <si>
    <t xml:space="preserve">EDG-0406</t>
  </si>
  <si>
    <t xml:space="preserve">EDG-0407</t>
  </si>
  <si>
    <t xml:space="preserve">EDG-0408</t>
  </si>
  <si>
    <t xml:space="preserve">Assets/axe.glb</t>
  </si>
  <si>
    <t xml:space="preserve">EDG-0409</t>
  </si>
  <si>
    <t xml:space="preserve">EDG-0410</t>
  </si>
  <si>
    <t xml:space="preserve">EDG-0411</t>
  </si>
  <si>
    <t xml:space="preserve">EDG-0412</t>
  </si>
  <si>
    <t xml:space="preserve">EDG-0413</t>
  </si>
  <si>
    <t xml:space="preserve">EDG-0414</t>
  </si>
  <si>
    <t xml:space="preserve">EDG-0415</t>
  </si>
  <si>
    <t xml:space="preserve">EDG-0416</t>
  </si>
  <si>
    <t xml:space="preserve">EDG-0417</t>
  </si>
  <si>
    <t xml:space="preserve">EDG-0418</t>
  </si>
  <si>
    <t xml:space="preserve">EDG-0419</t>
  </si>
  <si>
    <t xml:space="preserve">EDG-0420</t>
  </si>
  <si>
    <t xml:space="preserve">EDG-0421</t>
  </si>
  <si>
    <t xml:space="preserve">EDG-0422</t>
  </si>
  <si>
    <t xml:space="preserve">EDG-0423</t>
  </si>
  <si>
    <t xml:space="preserve">ANU_EVENTS.MODULE_LOAD_ERROR</t>
  </si>
  <si>
    <t xml:space="preserve">EDG-0424</t>
  </si>
  <si>
    <t xml:space="preserve">ANU_EVENTS.ORCHESTRATOR_LOOP_ERROR</t>
  </si>
  <si>
    <t xml:space="preserve">EDG-0425</t>
  </si>
  <si>
    <t xml:space="preserve">ANU_EVENTS.PIPELINE_STRESS_LEVEL</t>
  </si>
  <si>
    <t xml:space="preserve">EDG-0426</t>
  </si>
  <si>
    <t xml:space="preserve">EDG-0427</t>
  </si>
  <si>
    <t xml:space="preserve">EDG-0428</t>
  </si>
  <si>
    <t xml:space="preserve">EDG-0429</t>
  </si>
  <si>
    <t xml:space="preserve">EDG-0430</t>
  </si>
  <si>
    <t xml:space="preserve">EDG-0431</t>
  </si>
  <si>
    <t xml:space="preserve">EDG-0432</t>
  </si>
  <si>
    <t xml:space="preserve">EDG-0433</t>
  </si>
  <si>
    <t xml:space="preserve">EDG-0434</t>
  </si>
  <si>
    <t xml:space="preserve">EDG-0435</t>
  </si>
  <si>
    <t xml:space="preserve">ANU_EVENTS.FAUNA_TICK</t>
  </si>
  <si>
    <t xml:space="preserve">EDG-0436</t>
  </si>
  <si>
    <t xml:space="preserve">EDG-0437</t>
  </si>
  <si>
    <t xml:space="preserve">EDG-0438</t>
  </si>
  <si>
    <t xml:space="preserve">EDG-0439</t>
  </si>
  <si>
    <t xml:space="preserve">AnuFuzzyPipelineSensor.js</t>
  </si>
  <si>
    <t xml:space="preserve">EDG-0440</t>
  </si>
  <si>
    <t xml:space="preserve">EDG-0441</t>
  </si>
  <si>
    <t xml:space="preserve">EDG-0442</t>
  </si>
  <si>
    <t xml:space="preserve">EDG-0443</t>
  </si>
  <si>
    <t xml:space="preserve">EDG-0444</t>
  </si>
  <si>
    <t xml:space="preserve">EDG-0445</t>
  </si>
  <si>
    <t xml:space="preserve">EDG-0446</t>
  </si>
  <si>
    <t xml:space="preserve">EDG-0447</t>
  </si>
  <si>
    <t xml:space="preserve">EDG-0448</t>
  </si>
  <si>
    <t xml:space="preserve">EDG-0449</t>
  </si>
  <si>
    <t xml:space="preserve">EDG-0450</t>
  </si>
  <si>
    <t xml:space="preserve">EDG-0451</t>
  </si>
  <si>
    <t xml:space="preserve">ANU_EVENTS.SCENE_INVENTORY_TICK</t>
  </si>
  <si>
    <t xml:space="preserve">EDG-0452</t>
  </si>
  <si>
    <t xml:space="preserve">EDG-0453</t>
  </si>
  <si>
    <t xml:space="preserve">EDG-0454</t>
  </si>
  <si>
    <t xml:space="preserve">EDG-0455</t>
  </si>
  <si>
    <t xml:space="preserve">EDG-0456</t>
  </si>
  <si>
    <t xml:space="preserve">EDG-0457</t>
  </si>
  <si>
    <t xml:space="preserve">AnuWorldSensorium.js</t>
  </si>
  <si>
    <t xml:space="preserve">EDG-0458</t>
  </si>
  <si>
    <t xml:space="preserve">EDG-0459</t>
  </si>
  <si>
    <t xml:space="preserve">EDG-0460</t>
  </si>
  <si>
    <t xml:space="preserve">PipRenderStrategy.js</t>
  </si>
  <si>
    <t xml:space="preserve">EDG-0461</t>
  </si>
  <si>
    <t xml:space="preserve">EDG-0462</t>
  </si>
  <si>
    <t xml:space="preserve">EDG-0463</t>
  </si>
  <si>
    <t xml:space="preserve">EDG-0464</t>
  </si>
  <si>
    <t xml:space="preserve">EDG-0465</t>
  </si>
  <si>
    <t xml:space="preserve">Assets/&lt;NAME&gt;.glb</t>
  </si>
  <si>
    <t xml:space="preserve">EDG-0466</t>
  </si>
  <si>
    <t xml:space="preserve">EDG-0467</t>
  </si>
  <si>
    <t xml:space="preserve">EDG-0468</t>
  </si>
  <si>
    <t xml:space="preserve">EDG-0469</t>
  </si>
  <si>
    <t xml:space="preserve">EDG-0470</t>
  </si>
  <si>
    <t xml:space="preserve">Assets/[removed]/little_pond__fish/scene.gltf</t>
  </si>
  <si>
    <t xml:space="preserve">EDG-0471</t>
  </si>
  <si>
    <t xml:space="preserve">Assets/animated.deer/source/[deer+3d+model].glb</t>
  </si>
  <si>
    <t xml:space="preserve">EDG-0472</t>
  </si>
  <si>
    <t xml:space="preserve">EDG-0473</t>
  </si>
  <si>
    <t xml:space="preserve">EDG-0474</t>
  </si>
  <si>
    <t xml:space="preserve">EDG-0475</t>
  </si>
  <si>
    <t xml:space="preserve">EDG-0476</t>
  </si>
  <si>
    <t xml:space="preserve">Assets/pond1.glb</t>
  </si>
  <si>
    <t xml:space="preserve">EDG-0477</t>
  </si>
  <si>
    <t xml:space="preserve">EDG-0478</t>
  </si>
  <si>
    <t xml:space="preserve">EDG-0479</t>
  </si>
  <si>
    <t xml:space="preserve">msg:REQ_AUTOWALK_TO_ENTITY</t>
  </si>
  <si>
    <t xml:space="preserve">EDG-0480</t>
  </si>
  <si>
    <t xml:space="preserve">EDG-0481</t>
  </si>
  <si>
    <t xml:space="preserve">Globals registry</t>
  </si>
  <si>
    <t xml:space="preserve">Live files only · sorted by how many files touch the name</t>
  </si>
  <si>
    <t xml:space="preserve">Global ID</t>
  </si>
  <si>
    <t xml:space="preserve">Name</t>
  </si>
  <si>
    <t xml:space="preserve">Live writers</t>
  </si>
  <si>
    <t xml:space="preserve">Live readers</t>
  </si>
  <si>
    <t xml:space="preserve">Writer MOD IDs</t>
  </si>
  <si>
    <t xml:space="preserve">Reader MOD IDs</t>
  </si>
  <si>
    <t xml:space="preserve">Pattern</t>
  </si>
  <si>
    <t xml:space="preserve">GLB-001</t>
  </si>
  <si>
    <t xml:space="preserve">MOD-003, MOD-004, MOD-005, MOD-006, MOD-007, MOD-008, MOD-009, MOD-015, MOD-016, MOD-040</t>
  </si>
  <si>
    <t xml:space="preserve">Cross-module (written by one, read by another)</t>
  </si>
  <si>
    <t xml:space="preserve">GLB-002</t>
  </si>
  <si>
    <t xml:space="preserve">MOD-010, MOD-015, MOD-021, MOD-023, MOD-031, MOD-037, MOD-038, MOD-043, MOD-044, MOD-046</t>
  </si>
  <si>
    <t xml:space="preserve">GLB-003</t>
  </si>
  <si>
    <t xml:space="preserve">window.addEventListener</t>
  </si>
  <si>
    <t xml:space="preserve">MOD-010, MOD-012, MOD-017, MOD-023, MOD-030, MOD-031, MOD-045, MOD-051, MOD-059, MOD-060, MOD-102</t>
  </si>
  <si>
    <t xml:space="preserve">Read-only here (written elsewhere/HTML)</t>
  </si>
  <si>
    <t xml:space="preserve">GLB-004</t>
  </si>
  <si>
    <t xml:space="preserve">MOD-049, MOD-092</t>
  </si>
  <si>
    <t xml:space="preserve">MOD-002, MOD-023, MOD-030, MOD-059, MOD-060, MOD-086, MOD-102</t>
  </si>
  <si>
    <t xml:space="preserve">GLB-005</t>
  </si>
  <si>
    <t xml:space="preserve">MOD-021, MOD-023, MOD-030, MOD-049, MOD-088, MOD-089, MOD-098</t>
  </si>
  <si>
    <t xml:space="preserve">GLB-006</t>
  </si>
  <si>
    <t xml:space="preserve">MOD-007, MOD-011, MOD-014, MOD-021, MOD-022, MOD-027</t>
  </si>
  <si>
    <t xml:space="preserve">GLB-007</t>
  </si>
  <si>
    <t xml:space="preserve">window.removeEventListener</t>
  </si>
  <si>
    <t xml:space="preserve">MOD-010, MOD-012, MOD-017, MOD-023, MOD-030, MOD-031, MOD-059</t>
  </si>
  <si>
    <t xml:space="preserve">GLB-008</t>
  </si>
  <si>
    <t xml:space="preserve">MOD-007, MOD-021, MOD-022, MOD-023, MOD-026</t>
  </si>
  <si>
    <t xml:space="preserve">GLB-009</t>
  </si>
  <si>
    <t xml:space="preserve">MOD-012, MOD-019, MOD-038, MOD-039</t>
  </si>
  <si>
    <t xml:space="preserve">GLB-010</t>
  </si>
  <si>
    <t xml:space="preserve">MOD-011, MOD-015, MOD-023, MOD-031</t>
  </si>
  <si>
    <t xml:space="preserve">GLB-011</t>
  </si>
  <si>
    <t xml:space="preserve">window.localStorage</t>
  </si>
  <si>
    <t xml:space="preserve">MOD-011, MOD-016, MOD-033, MOD-057, MOD-059</t>
  </si>
  <si>
    <t xml:space="preserve">GLB-012</t>
  </si>
  <si>
    <t xml:space="preserve">MOD-026, MOD-059, MOD-064</t>
  </si>
  <si>
    <t xml:space="preserve">GLB-013</t>
  </si>
  <si>
    <t xml:space="preserve">MOD-021, MOD-026, MOD-059</t>
  </si>
  <si>
    <t xml:space="preserve">GLB-014</t>
  </si>
  <si>
    <t xml:space="preserve">MOD-011, MOD-015, MOD-027</t>
  </si>
  <si>
    <t xml:space="preserve">GLB-015</t>
  </si>
  <si>
    <t xml:space="preserve">MOD-022, MOD-023, MOD-026</t>
  </si>
  <si>
    <t xml:space="preserve">GLB-016</t>
  </si>
  <si>
    <t xml:space="preserve">MOD-016, MOD-040</t>
  </si>
  <si>
    <t xml:space="preserve">MOD-015, MOD-017</t>
  </si>
  <si>
    <t xml:space="preserve">GLB-017</t>
  </si>
  <si>
    <t xml:space="preserve">MOD-012, MOD-013, MOD-038</t>
  </si>
  <si>
    <t xml:space="preserve">GLB-018</t>
  </si>
  <si>
    <t xml:space="preserve">window.devicePixelRatio</t>
  </si>
  <si>
    <t xml:space="preserve">MOD-002, MOD-059, MOD-060, MOD-095</t>
  </si>
  <si>
    <t xml:space="preserve">GLB-019</t>
  </si>
  <si>
    <t xml:space="preserve">window.AudioContext</t>
  </si>
  <si>
    <t xml:space="preserve">MOD-010, MOD-021, MOD-023</t>
  </si>
  <si>
    <t xml:space="preserve">GLB-020</t>
  </si>
  <si>
    <t xml:space="preserve">MOD-089, MOD-090</t>
  </si>
  <si>
    <t xml:space="preserve">GLB-021</t>
  </si>
  <si>
    <t xml:space="preserve">MOD-021, MOD-026</t>
  </si>
  <si>
    <t xml:space="preserve">GLB-022</t>
  </si>
  <si>
    <t xml:space="preserve">MOD-022, MOD-023</t>
  </si>
  <si>
    <t xml:space="preserve">GLB-023</t>
  </si>
  <si>
    <t xml:space="preserve">MOD-011, MOD-059</t>
  </si>
  <si>
    <t xml:space="preserve">GLB-024</t>
  </si>
  <si>
    <t xml:space="preserve">MOD-014, MOD-023</t>
  </si>
  <si>
    <t xml:space="preserve">GLB-025</t>
  </si>
  <si>
    <t xml:space="preserve">MOD-012, MOD-038</t>
  </si>
  <si>
    <t xml:space="preserve">GLB-026</t>
  </si>
  <si>
    <t xml:space="preserve">GLB-027</t>
  </si>
  <si>
    <t xml:space="preserve">GLB-028</t>
  </si>
  <si>
    <t xml:space="preserve">GLB-029</t>
  </si>
  <si>
    <t xml:space="preserve">GLB-030</t>
  </si>
  <si>
    <t xml:space="preserve">MOD-023, MOD-031</t>
  </si>
  <si>
    <t xml:space="preserve">GLB-031</t>
  </si>
  <si>
    <t xml:space="preserve">window.webkitAudioContext</t>
  </si>
  <si>
    <t xml:space="preserve">GLB-032</t>
  </si>
  <si>
    <t xml:space="preserve">GLB-033</t>
  </si>
  <si>
    <t xml:space="preserve">window.ThreeIconManager</t>
  </si>
  <si>
    <t xml:space="preserve">MOD-049, MOD-102</t>
  </si>
  <si>
    <t xml:space="preserve">GLB-034</t>
  </si>
  <si>
    <t xml:space="preserve">GLB-035</t>
  </si>
  <si>
    <t xml:space="preserve">GLB-036</t>
  </si>
  <si>
    <t xml:space="preserve">GLB-037</t>
  </si>
  <si>
    <t xml:space="preserve">GLB-038</t>
  </si>
  <si>
    <t xml:space="preserve">GLB-039</t>
  </si>
  <si>
    <t xml:space="preserve">GLB-040</t>
  </si>
  <si>
    <t xml:space="preserve">MOD-021, MOD-023</t>
  </si>
  <si>
    <t xml:space="preserve">Write-only</t>
  </si>
  <si>
    <t xml:space="preserve">GLB-041</t>
  </si>
  <si>
    <t xml:space="preserve">GLB-042</t>
  </si>
  <si>
    <t xml:space="preserve">GLB-043</t>
  </si>
  <si>
    <t xml:space="preserve">GLB-044</t>
  </si>
  <si>
    <t xml:space="preserve">GLB-045</t>
  </si>
  <si>
    <t xml:space="preserve">GLB-046</t>
  </si>
  <si>
    <t xml:space="preserve">GLB-047</t>
  </si>
  <si>
    <t xml:space="preserve">GLB-048</t>
  </si>
  <si>
    <t xml:space="preserve">GLB-049</t>
  </si>
  <si>
    <t xml:space="preserve">GLB-050</t>
  </si>
  <si>
    <t xml:space="preserve">GLB-051</t>
  </si>
  <si>
    <t xml:space="preserve">GLB-052</t>
  </si>
  <si>
    <t xml:space="preserve">GLB-053</t>
  </si>
  <si>
    <t xml:space="preserve">GLB-054</t>
  </si>
  <si>
    <t xml:space="preserve">GLB-055</t>
  </si>
  <si>
    <t xml:space="preserve">GLB-056</t>
  </si>
  <si>
    <t xml:space="preserve">window.clearInterval</t>
  </si>
  <si>
    <t xml:space="preserve">MOD-030, MOD-060</t>
  </si>
  <si>
    <t xml:space="preserve">GLB-057</t>
  </si>
  <si>
    <t xml:space="preserve">window.innerHeight</t>
  </si>
  <si>
    <t xml:space="preserve">MOD-002, MOD-059</t>
  </si>
  <si>
    <t xml:space="preserve">GLB-058</t>
  </si>
  <si>
    <t xml:space="preserve">window.innerWidth</t>
  </si>
  <si>
    <t xml:space="preserve">GLB-059</t>
  </si>
  <si>
    <t xml:space="preserve">window.location</t>
  </si>
  <si>
    <t xml:space="preserve">MOD-011, MOD-057</t>
  </si>
  <si>
    <t xml:space="preserve">GLB-060</t>
  </si>
  <si>
    <t xml:space="preserve">window.postMessage</t>
  </si>
  <si>
    <t xml:space="preserve">MOD-064, MOD-102</t>
  </si>
  <si>
    <t xml:space="preserve">GLB-061</t>
  </si>
  <si>
    <t xml:space="preserve">GLB-062</t>
  </si>
  <si>
    <t xml:space="preserve">window.setInterval</t>
  </si>
  <si>
    <t xml:space="preserve">GLB-063</t>
  </si>
  <si>
    <t xml:space="preserve">window.SanctuaryBuildings</t>
  </si>
  <si>
    <t xml:space="preserve">GLB-064</t>
  </si>
  <si>
    <t xml:space="preserve">window.SanctuaryGround</t>
  </si>
  <si>
    <t xml:space="preserve">GLB-065</t>
  </si>
  <si>
    <t xml:space="preserve">GLB-066</t>
  </si>
  <si>
    <t xml:space="preserve">GLB-067</t>
  </si>
  <si>
    <t xml:space="preserve">window.__regeneratePoolObjects</t>
  </si>
  <si>
    <t xml:space="preserve">GLB-068</t>
  </si>
  <si>
    <t xml:space="preserve">window.__regenerateTerrain</t>
  </si>
  <si>
    <t xml:space="preserve">GLB-069</t>
  </si>
  <si>
    <t xml:space="preserve">window.__sanctuaryDockRoot</t>
  </si>
  <si>
    <t xml:space="preserve">GLB-070</t>
  </si>
  <si>
    <t xml:space="preserve">GLB-071</t>
  </si>
  <si>
    <t xml:space="preserve">GLB-072</t>
  </si>
  <si>
    <t xml:space="preserve">GLB-073</t>
  </si>
  <si>
    <t xml:space="preserve">window.__sanctuaryJoystickInput</t>
  </si>
  <si>
    <t xml:space="preserve">GLB-074</t>
  </si>
  <si>
    <t xml:space="preserve">window.__sanctuaryKeyboardLook</t>
  </si>
  <si>
    <t xml:space="preserve">GLB-075</t>
  </si>
  <si>
    <t xml:space="preserve">GLB-076</t>
  </si>
  <si>
    <t xml:space="preserve">GLB-077</t>
  </si>
  <si>
    <t xml:space="preserve">GLB-078</t>
  </si>
  <si>
    <t xml:space="preserve">GLB-079</t>
  </si>
  <si>
    <t xml:space="preserve">GLB-080</t>
  </si>
  <si>
    <t xml:space="preserve">GLB-081</t>
  </si>
  <si>
    <t xml:space="preserve">window._detectedHz</t>
  </si>
  <si>
    <t xml:space="preserve">GLB-082</t>
  </si>
  <si>
    <t xml:space="preserve">window._globalTime</t>
  </si>
  <si>
    <t xml:space="preserve">GLB-083</t>
  </si>
  <si>
    <t xml:space="preserve">window._gpuSlideStarted</t>
  </si>
  <si>
    <t xml:space="preserve">GLB-084</t>
  </si>
  <si>
    <t xml:space="preserve">GLB-085</t>
  </si>
  <si>
    <t xml:space="preserve">GLB-086</t>
  </si>
  <si>
    <t xml:space="preserve">window._v2HandleAnuInput</t>
  </si>
  <si>
    <t xml:space="preserve">GLB-087</t>
  </si>
  <si>
    <t xml:space="preserve">GLB-088</t>
  </si>
  <si>
    <t xml:space="preserve">window._v2SetCinematicUiHidden</t>
  </si>
  <si>
    <t xml:space="preserve">GLB-089</t>
  </si>
  <si>
    <t xml:space="preserve">GLB-090</t>
  </si>
  <si>
    <t xml:space="preserve">GLB-091</t>
  </si>
  <si>
    <t xml:space="preserve">window._v3DisableSeatedNpcs</t>
  </si>
  <si>
    <t xml:space="preserve">GLB-092</t>
  </si>
  <si>
    <t xml:space="preserve">GLB-093</t>
  </si>
  <si>
    <t xml:space="preserve">GLB-094</t>
  </si>
  <si>
    <t xml:space="preserve">GLB-095</t>
  </si>
  <si>
    <t xml:space="preserve">window._v4ToggleJournal</t>
  </si>
  <si>
    <t xml:space="preserve">GLB-096</t>
  </si>
  <si>
    <t xml:space="preserve">window._v4TogglePanel</t>
  </si>
  <si>
    <t xml:space="preserve">GLB-097</t>
  </si>
  <si>
    <t xml:space="preserve">GLB-098</t>
  </si>
  <si>
    <t xml:space="preserve">GLB-099</t>
  </si>
  <si>
    <t xml:space="preserve">window.dispatchEvent</t>
  </si>
  <si>
    <t xml:space="preserve">GLB-100</t>
  </si>
  <si>
    <t xml:space="preserve">GLB-101</t>
  </si>
  <si>
    <t xml:space="preserve">GLB-102</t>
  </si>
  <si>
    <t xml:space="preserve">GLB-103</t>
  </si>
  <si>
    <t xml:space="preserve">GLB-104</t>
  </si>
  <si>
    <t xml:space="preserve">GLB-105</t>
  </si>
  <si>
    <t xml:space="preserve">GLB-106</t>
  </si>
  <si>
    <t xml:space="preserve">GLB-107</t>
  </si>
  <si>
    <t xml:space="preserve">window.setTimeout</t>
  </si>
  <si>
    <t xml:space="preserve">GLB-108</t>
  </si>
  <si>
    <t xml:space="preserve">window.showWoWCombatText</t>
  </si>
  <si>
    <t xml:space="preserve">GLB-109</t>
  </si>
  <si>
    <t xml:space="preserve">window.swayTrees</t>
  </si>
  <si>
    <t xml:space="preserve">ANU events</t>
  </si>
  <si>
    <t xml:space="preserve">From js/v2/anu/anuEvents.js</t>
  </si>
  <si>
    <t xml:space="preserve">Event ID</t>
  </si>
  <si>
    <t xml:space="preserve">Event</t>
  </si>
  <si>
    <t xml:space="preserve">Live dispatchers</t>
  </si>
  <si>
    <t xml:space="preserve">Live subscribers</t>
  </si>
  <si>
    <t xml:space="preserve">Legacy subscribers</t>
  </si>
  <si>
    <t xml:space="preserve">Verdict</t>
  </si>
  <si>
    <t xml:space="preserve">EVT-01</t>
  </si>
  <si>
    <t xml:space="preserve">MOD-055, MOD-071</t>
  </si>
  <si>
    <t xml:space="preserve">Dispatched, nobody listens (live)</t>
  </si>
  <si>
    <t xml:space="preserve">EVT-02</t>
  </si>
  <si>
    <t xml:space="preserve">Never dispatched (live)</t>
  </si>
  <si>
    <t xml:space="preserve">EVT-03</t>
  </si>
  <si>
    <t xml:space="preserve">EVT-04</t>
  </si>
  <si>
    <t xml:space="preserve">EVT-05</t>
  </si>
  <si>
    <t xml:space="preserve">EVT-06</t>
  </si>
  <si>
    <t xml:space="preserve">EVT-07</t>
  </si>
  <si>
    <t xml:space="preserve">EVT-08</t>
  </si>
  <si>
    <t xml:space="preserve">EVT-09</t>
  </si>
  <si>
    <t xml:space="preserve">EVT-10</t>
  </si>
  <si>
    <t xml:space="preserve">EVT-11</t>
  </si>
  <si>
    <t xml:space="preserve">EVT-12</t>
  </si>
  <si>
    <t xml:space="preserve">EVT-13</t>
  </si>
  <si>
    <t xml:space="preserve">EVT-14</t>
  </si>
  <si>
    <t xml:space="preserve">EVT-15</t>
  </si>
  <si>
    <t xml:space="preserve">ANU_EVENTS.UI_PIP_VIEW_TOGGLE</t>
  </si>
  <si>
    <t xml:space="preserve">EVT-16</t>
  </si>
  <si>
    <t xml:space="preserve">ANU_EVENTS.MOON_DIAL_PHASE</t>
  </si>
  <si>
    <t xml:space="preserve">EVT-17</t>
  </si>
  <si>
    <t xml:space="preserve">EVT-18</t>
  </si>
  <si>
    <t xml:space="preserve">EVT-19</t>
  </si>
  <si>
    <t xml:space="preserve">ANU_EVENTS.STRUCTURE_EVENT</t>
  </si>
  <si>
    <t xml:space="preserve">EVT-20</t>
  </si>
  <si>
    <t xml:space="preserve">EVT-21</t>
  </si>
  <si>
    <t xml:space="preserve">EVT-22</t>
  </si>
  <si>
    <t xml:space="preserve">EVT-23</t>
  </si>
  <si>
    <t xml:space="preserve">EVT-24</t>
  </si>
  <si>
    <t xml:space="preserve">EVT-25</t>
  </si>
  <si>
    <t xml:space="preserve">registerRuntimeService / getRuntimeService call sites</t>
  </si>
  <si>
    <t xml:space="preserve">Service ID</t>
  </si>
  <si>
    <t xml:space="preserve">Service</t>
  </si>
  <si>
    <t xml:space="preserve">Registered by</t>
  </si>
  <si>
    <t xml:space="preserve">Used by</t>
  </si>
  <si>
    <t xml:space="preserve">SVC-01</t>
  </si>
  <si>
    <t xml:space="preserve">AnuNatureAwareness</t>
  </si>
  <si>
    <t xml:space="preserve">Registered and used</t>
  </si>
  <si>
    <t xml:space="preserve">SVC-02</t>
  </si>
  <si>
    <t xml:space="preserve">SVC-03</t>
  </si>
  <si>
    <t xml:space="preserve">WebFontsService</t>
  </si>
  <si>
    <t xml:space="preserve">SVC-04</t>
  </si>
  <si>
    <t xml:space="preserve">MOD-082, MOD-090</t>
  </si>
  <si>
    <t xml:space="preserve">SVC-05</t>
  </si>
  <si>
    <t xml:space="preserve">WorldPlayer</t>
  </si>
  <si>
    <t xml:space="preserve">MOD-046, MOD-059, MOD-064</t>
  </si>
  <si>
    <t xml:space="preserve">Limbo calls</t>
  </si>
  <si>
    <t xml:space="preserve">limbo.py — LIMBO rows have no receiver anywhere in live code (all frames scanned, comments excluded)</t>
  </si>
  <si>
    <t xml:space="preserve">Call ID</t>
  </si>
  <si>
    <t xml:space="preserve">Senders (file:line)</t>
  </si>
  <si>
    <t xml:space="preserve">Receivers (file:line)</t>
  </si>
  <si>
    <t xml:space="preserve">Note</t>
  </si>
  <si>
    <t xml:space="preserve">LMB-001</t>
  </si>
  <si>
    <t xml:space="preserve">ANU bus event</t>
  </si>
  <si>
    <t xml:space="preserve">js/v2/anu/AnuNatureAwareness.js:L217</t>
  </si>
  <si>
    <t xml:space="preserve">LIMBO — no code subscriber (only the DevTools AnuUniverse.interactions.subscribe API)</t>
  </si>
  <si>
    <t xml:space="preserve">LMB-002</t>
  </si>
  <si>
    <t xml:space="preserve">FUZZY_PIPELINE_SENSOR</t>
  </si>
  <si>
    <t xml:space="preserve">js/v2/AnuModule.js:L405; js/v2/AnuModule.js:L411</t>
  </si>
  <si>
    <t xml:space="preserve">LMB-003</t>
  </si>
  <si>
    <t xml:space="preserve">GOVERNANCE_SNAPSHOT</t>
  </si>
  <si>
    <t xml:space="preserve">js/v2/AnuModule.js:L434; js/v2/AnuModule.js:L440</t>
  </si>
  <si>
    <t xml:space="preserve">LMB-004</t>
  </si>
  <si>
    <t xml:space="preserve">js/sanctuary/SanctuaryInventory.js:L209</t>
  </si>
  <si>
    <t xml:space="preserve">LMB-005</t>
  </si>
  <si>
    <t xml:space="preserve">MODULE_ACTIVATED</t>
  </si>
  <si>
    <t xml:space="preserve">js/v2/Orchestrator.js:L447</t>
  </si>
  <si>
    <t xml:space="preserve">LMB-006</t>
  </si>
  <si>
    <t xml:space="preserve">MODULE_DEACTIVATED</t>
  </si>
  <si>
    <t xml:space="preserve">js/v2/Orchestrator.js:L511</t>
  </si>
  <si>
    <t xml:space="preserve">LMB-007</t>
  </si>
  <si>
    <t xml:space="preserve">MODULE_LOAD_ERROR</t>
  </si>
  <si>
    <t xml:space="preserve">js/v2/anu/AnuErrorAndStressLedger.js:L63</t>
  </si>
  <si>
    <t xml:space="preserve">LMB-008</t>
  </si>
  <si>
    <t xml:space="preserve">ORCHESTRATOR_BENCH_COMPLETE</t>
  </si>
  <si>
    <t xml:space="preserve">js/v2/Orchestrator.js:L851</t>
  </si>
  <si>
    <t xml:space="preserve">LMB-009</t>
  </si>
  <si>
    <t xml:space="preserve">ORCHESTRATOR_LOOP_ERROR</t>
  </si>
  <si>
    <t xml:space="preserve">js/v2/anu/AnuErrorAndStressLedger.js:L45</t>
  </si>
  <si>
    <t xml:space="preserve">LMB-010</t>
  </si>
  <si>
    <t xml:space="preserve">PIPELINE_STRESS_LEVEL</t>
  </si>
  <si>
    <t xml:space="preserve">js/v2/anu/AnuErrorAndStressLedger.js:L102</t>
  </si>
  <si>
    <t xml:space="preserve">LMB-011</t>
  </si>
  <si>
    <t xml:space="preserve">js/v2/NPCBehaviour.js:L275</t>
  </si>
  <si>
    <t xml:space="preserve">LMB-012</t>
  </si>
  <si>
    <t xml:space="preserve">js/sanctuary/AnuAdaptiveDpr.js:L136</t>
  </si>
  <si>
    <t xml:space="preserve">LMB-013</t>
  </si>
  <si>
    <t xml:space="preserve">js/sanctuary/SanctuaryMutations.js:L79</t>
  </si>
  <si>
    <t xml:space="preserve">LMB-014</t>
  </si>
  <si>
    <t xml:space="preserve">js/sanctuary/SanctuaryControls.js:L330; js/sanctuary/SanctuaryControls.js:L349</t>
  </si>
  <si>
    <t xml:space="preserve">LMB-015</t>
  </si>
  <si>
    <t xml:space="preserve">js/v2/anu/SceneModelInventory.js:L365</t>
  </si>
  <si>
    <t xml:space="preserve">LMB-016</t>
  </si>
  <si>
    <t xml:space="preserve">js/sanctuary/SanctuaryDayNight.js:L121</t>
  </si>
  <si>
    <t xml:space="preserve">LMB-017</t>
  </si>
  <si>
    <t xml:space="preserve">WORLD_SENSORIUM</t>
  </si>
  <si>
    <t xml:space="preserve">js/v2/AnuModule.js:L454; js/v2/AnuModule.js:L460</t>
  </si>
  <si>
    <t xml:space="preserve">LMB-018</t>
  </si>
  <si>
    <t xml:space="preserve">DOM CustomEvent</t>
  </si>
  <si>
    <t xml:space="preserve">anu:weather-change</t>
  </si>
  <si>
    <t xml:space="preserve">js/sanctuary/SanctuaryWeather.js:L139</t>
  </si>
  <si>
    <t xml:space="preserve">LIMBO — no receiver in live code</t>
  </si>
  <si>
    <t xml:space="preserve">LMB-019</t>
  </si>
  <si>
    <t xml:space="preserve">DOM id lookup</t>
  </si>
  <si>
    <t xml:space="preserve">axe-3d-target</t>
  </si>
  <si>
    <t xml:space="preserve">js/components/Component.NewJournal.html:L1155</t>
  </si>
  <si>
    <t xml:space="preserve">LIMBO — id not created anywhere in live code</t>
  </si>
  <si>
    <t xml:space="preserve">LMB-020</t>
  </si>
  <si>
    <t xml:space="preserve">debug-viewport</t>
  </si>
  <si>
    <t xml:space="preserve">SacredGame.Panel.html:L2673</t>
  </si>
  <si>
    <t xml:space="preserve">LMB-021</t>
  </si>
  <si>
    <t xml:space="preserve">journal-frame</t>
  </si>
  <si>
    <t xml:space="preserve">SacredGame.Panel.html:L1960; SacredGame.Journal.html:L334</t>
  </si>
  <si>
    <t xml:space="preserve">LMB-022</t>
  </si>
  <si>
    <t xml:space="preserve">logbook-container</t>
  </si>
  <si>
    <t xml:space="preserve">SacredGame.Panel.html:L2824</t>
  </si>
  <si>
    <t xml:space="preserve">LMB-023</t>
  </si>
  <si>
    <t xml:space="preserve">tab-</t>
  </si>
  <si>
    <t xml:space="preserve">js/components/Component.NewJournal.html:L768</t>
  </si>
  <si>
    <t xml:space="preserve">LMB-024</t>
  </si>
  <si>
    <t xml:space="preserve">v2-hint</t>
  </si>
  <si>
    <t xml:space="preserve">js/v2/UIModule.js:L237; js/v2/UIModule.js:L302</t>
  </si>
  <si>
    <t xml:space="preserve">LMB-025</t>
  </si>
  <si>
    <t xml:space="preserve">v2-village-builder</t>
  </si>
  <si>
    <t xml:space="preserve">js/v2/OrchestratorHud.js:L899; js/v2/OrchestratorHud.js:L940</t>
  </si>
  <si>
    <t xml:space="preserve">LMB-026</t>
  </si>
  <si>
    <t xml:space="preserve">Runtime service lookup</t>
  </si>
  <si>
    <t xml:space="preserve">js/v2/WorldStructures.js:L822; js/v2/WorldStructures.js:L1281; js/v2/anu/AnuNatureAwareness.js:L235</t>
  </si>
  <si>
    <t xml:space="preserve">LMB-027</t>
  </si>
  <si>
    <t xml:space="preserve">postMessage type</t>
  </si>
  <si>
    <t xml:space="preserve">CLOSE_QUEST</t>
  </si>
  <si>
    <t xml:space="preserve">SacredGame.Panel.html:L1888</t>
  </si>
  <si>
    <t xml:space="preserve">Receiver may sit in another frame; both frames scanned</t>
  </si>
  <si>
    <t xml:space="preserve">LMB-028</t>
  </si>
  <si>
    <t xml:space="preserve">FIND_HER_AUTOWALK</t>
  </si>
  <si>
    <t xml:space="preserve">SacredGame.Panel.html:L2480</t>
  </si>
  <si>
    <t xml:space="preserve">LMB-029</t>
  </si>
  <si>
    <t xml:space="preserve">GATHER_ACTION</t>
  </si>
  <si>
    <t xml:space="preserve">SacredGame.Panel.html:L2546</t>
  </si>
  <si>
    <t xml:space="preserve">LMB-030</t>
  </si>
  <si>
    <t xml:space="preserve">JOURNAL_GREET_BHG</t>
  </si>
  <si>
    <t xml:space="preserve">js/components/Component.NewJournal.html:L1036</t>
  </si>
  <si>
    <t xml:space="preserve">LMB-031</t>
  </si>
  <si>
    <t xml:space="preserve">JOURNAL_START_GAME_INTRO</t>
  </si>
  <si>
    <t xml:space="preserve">js/components/Component.NewJournal.html:L909</t>
  </si>
  <si>
    <t xml:space="preserve">LMB-032</t>
  </si>
  <si>
    <t xml:space="preserve">LOADING_MODAL_ERROR</t>
  </si>
  <si>
    <t xml:space="preserve">js/components/Component.LoadingModal.html:L486</t>
  </si>
  <si>
    <t xml:space="preserve">LMB-033</t>
  </si>
  <si>
    <t xml:space="preserve">OBSERVE_WILDLIFE_ACTION</t>
  </si>
  <si>
    <t xml:space="preserve">SacredGame.Panel.html:L2559</t>
  </si>
  <si>
    <t xml:space="preserve">LMB-034</t>
  </si>
  <si>
    <t xml:space="preserve">PROCESS_INPUT</t>
  </si>
  <si>
    <t xml:space="preserve">js/components/Component.NewJournal.html:L970</t>
  </si>
  <si>
    <t xml:space="preserve">LMB-035</t>
  </si>
  <si>
    <t xml:space="preserve">REQ_ALIGN_SELFIE</t>
  </si>
  <si>
    <t xml:space="preserve">js/components/Component.NewJournal.html:L1188</t>
  </si>
  <si>
    <t xml:space="preserve">LMB-036</t>
  </si>
  <si>
    <t xml:space="preserve">REQ_HIDE_SELFIE</t>
  </si>
  <si>
    <t xml:space="preserve">js/components/Component.NewJournal.html:L649; js/components/Component.NewJournal.html:L1172; js/components/Component.NewJournal.html:L1190</t>
  </si>
  <si>
    <t xml:space="preserve">LMB-037</t>
  </si>
  <si>
    <t xml:space="preserve">REQ_WORLD_RECONFIG</t>
  </si>
  <si>
    <t xml:space="preserve">SacredGame.Panel.html:L1614</t>
  </si>
  <si>
    <t xml:space="preserve">LMB-038</t>
  </si>
  <si>
    <t xml:space="preserve">RESTORE_STATE</t>
  </si>
  <si>
    <t xml:space="preserve">js/components/Component.NewJournal.html:L696</t>
  </si>
  <si>
    <t xml:space="preserve">LMB-039</t>
  </si>
  <si>
    <t xml:space="preserve">SEEK_ENTITY</t>
  </si>
  <si>
    <t xml:space="preserve">SacredGame.Panel.html:L2859</t>
  </si>
  <si>
    <t xml:space="preserve">LMB-040</t>
  </si>
  <si>
    <t xml:space="preserve">window.* function call</t>
  </si>
  <si>
    <t xml:space="preserve">ThreeIconManager</t>
  </si>
  <si>
    <t xml:space="preserve">SacredGame.Panel.html:L1900</t>
  </si>
  <si>
    <t xml:space="preserve">LIMBO — never assigned in live code</t>
  </si>
  <si>
    <t xml:space="preserve">LMB-041</t>
  </si>
  <si>
    <t xml:space="preserve">__regeneratePoolObjects</t>
  </si>
  <si>
    <t xml:space="preserve">js/sanctuary/SanctuaryToolPalette.js:L443</t>
  </si>
  <si>
    <t xml:space="preserve">LMB-042</t>
  </si>
  <si>
    <t xml:space="preserve">__regenerateTerrain</t>
  </si>
  <si>
    <t xml:space="preserve">js/sanctuary/SanctuaryToolPalette.js:L423</t>
  </si>
  <si>
    <t xml:space="preserve">LMB-043</t>
  </si>
  <si>
    <t xml:space="preserve">_v4TogglePip</t>
  </si>
  <si>
    <t xml:space="preserve">index.html:L801</t>
  </si>
  <si>
    <t xml:space="preserve">LMB-044</t>
  </si>
  <si>
    <t xml:space="preserve">__boot_err</t>
  </si>
  <si>
    <t xml:space="preserve">index.html:L36</t>
  </si>
  <si>
    <t xml:space="preserve">index.html:L38; index.html:L38</t>
  </si>
  <si>
    <t xml:space="preserve">Has receiver</t>
  </si>
  <si>
    <t xml:space="preserve">LMB-045</t>
  </si>
  <si>
    <t xml:space="preserve">__boot_err_text</t>
  </si>
  <si>
    <t xml:space="preserve">index.html:L62</t>
  </si>
  <si>
    <t xml:space="preserve">index.html:L55; index.html:L55</t>
  </si>
  <si>
    <t xml:space="preserve">LMB-046</t>
  </si>
  <si>
    <t xml:space="preserve">action-log</t>
  </si>
  <si>
    <t xml:space="preserve">SacredGame.Panel.html:L2796</t>
  </si>
  <si>
    <t xml:space="preserve">SacredGame.Panel.html:L1796</t>
  </si>
  <si>
    <t xml:space="preserve">LMB-047</t>
  </si>
  <si>
    <t xml:space="preserve">action-zone</t>
  </si>
  <si>
    <t xml:space="preserve">SacredGame.Panel.html:L2579; SacredGame.Panel.html:L2594; SacredGame.Panel.html:L2604; SacredGame.Panel.html:L2648; SacredGame.Panel.html:L2707</t>
  </si>
  <si>
    <t xml:space="preserve">SacredGame.Panel.html:L1664</t>
  </si>
  <si>
    <t xml:space="preserve">LMB-048</t>
  </si>
  <si>
    <t xml:space="preserve">adventure-row-top</t>
  </si>
  <si>
    <t xml:space="preserve">SacredGame.Panel.html:L2116</t>
  </si>
  <si>
    <t xml:space="preserve">SacredGame.Panel.html:L1749</t>
  </si>
  <si>
    <t xml:space="preserve">LMB-049</t>
  </si>
  <si>
    <t xml:space="preserve">aria-announcer</t>
  </si>
  <si>
    <t xml:space="preserve">SacredGame.Panel.html:L2290</t>
  </si>
  <si>
    <t xml:space="preserve">SacredGame.Panel.html:L1621</t>
  </si>
  <si>
    <t xml:space="preserve">LMB-050</t>
  </si>
  <si>
    <t xml:space="preserve">aria-live-narrator</t>
  </si>
  <si>
    <t xml:space="preserve">SacredGame.Panel.html:L2817</t>
  </si>
  <si>
    <t xml:space="preserve">SacredGame.Panel.html:L1800</t>
  </si>
  <si>
    <t xml:space="preserve">LMB-051</t>
  </si>
  <si>
    <t xml:space="preserve">avatar-static-fallback</t>
  </si>
  <si>
    <t xml:space="preserve">SacredGame.Panel.html:L1921</t>
  </si>
  <si>
    <t xml:space="preserve">SacredGame.Panel.html:L1674</t>
  </si>
  <si>
    <t xml:space="preserve">LMB-052</t>
  </si>
  <si>
    <t xml:space="preserve">bar-logic</t>
  </si>
  <si>
    <t xml:space="preserve">js/components/Component.LoadingModal.html:L532; js/components/Component.LoadingModal.html:L560; js/components/Component.LoadingModal.html:L594</t>
  </si>
  <si>
    <t xml:space="preserve">js/components/Component.LoadingModal.html:L250</t>
  </si>
  <si>
    <t xml:space="preserve">LMB-053</t>
  </si>
  <si>
    <t xml:space="preserve">book-drag-handle</t>
  </si>
  <si>
    <t xml:space="preserve">SacredGame.Journal.html:L275</t>
  </si>
  <si>
    <t xml:space="preserve">SacredGame.Journal.html:L203</t>
  </si>
  <si>
    <t xml:space="preserve">LMB-054</t>
  </si>
  <si>
    <t xml:space="preserve">book-resize-handle</t>
  </si>
  <si>
    <t xml:space="preserve">SacredGame.Journal.html:L276</t>
  </si>
  <si>
    <t xml:space="preserve">SacredGame.Journal.html:L204</t>
  </si>
  <si>
    <t xml:space="preserve">LMB-055</t>
  </si>
  <si>
    <t xml:space="preserve">book-wrapper</t>
  </si>
  <si>
    <t xml:space="preserve">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</si>
  <si>
    <t xml:space="preserve">SacredGame.Journal.html:L202</t>
  </si>
  <si>
    <t xml:space="preserve">LMB-056</t>
  </si>
  <si>
    <t xml:space="preserve">btn-items</t>
  </si>
  <si>
    <t xml:space="preserve">SacredGame.Panel.html:L2516</t>
  </si>
  <si>
    <t xml:space="preserve">SacredGame.Panel.html:L1680</t>
  </si>
  <si>
    <t xml:space="preserve">LMB-057</t>
  </si>
  <si>
    <t xml:space="preserve">btn-journal</t>
  </si>
  <si>
    <t xml:space="preserve">SacredGame.Panel.html:L2099; SacredGame.Panel.html:L2110</t>
  </si>
  <si>
    <t xml:space="preserve">SacredGame.Panel.html:L1685</t>
  </si>
  <si>
    <t xml:space="preserve">LMB-058</t>
  </si>
  <si>
    <t xml:space="preserve">build-badge</t>
  </si>
  <si>
    <t xml:space="preserve">js/BuildBadge.js:L59</t>
  </si>
  <si>
    <t xml:space="preserve">js/BuildBadge.js:L62; js/BuildBadge.js:L62</t>
  </si>
  <si>
    <t xml:space="preserve">LMB-059</t>
  </si>
  <si>
    <t xml:space="preserve">build-badge-copy</t>
  </si>
  <si>
    <t xml:space="preserve">js/BuildBadge.js:L136</t>
  </si>
  <si>
    <t xml:space="preserve">js/BuildBadge.js:L134</t>
  </si>
  <si>
    <t xml:space="preserve">LMB-060</t>
  </si>
  <si>
    <t xml:space="preserve">card-fish-btn</t>
  </si>
  <si>
    <t xml:space="preserve">SacredGame.Panel.html:L2554</t>
  </si>
  <si>
    <t xml:space="preserve">SacredGame.Panel.html:L1771</t>
  </si>
  <si>
    <t xml:space="preserve">LMB-061</t>
  </si>
  <si>
    <t xml:space="preserve">card-gather-btn</t>
  </si>
  <si>
    <t xml:space="preserve">SacredGame.Panel.html:L2548</t>
  </si>
  <si>
    <t xml:space="preserve">SacredGame.Panel.html:L1765</t>
  </si>
  <si>
    <t xml:space="preserve">LMB-062</t>
  </si>
  <si>
    <t xml:space="preserve">card-log-btn</t>
  </si>
  <si>
    <t xml:space="preserve">SacredGame.Panel.html:L2098; SacredGame.Panel.html:L2109</t>
  </si>
  <si>
    <t xml:space="preserve">SacredGame.Panel.html:L1783</t>
  </si>
  <si>
    <t xml:space="preserve">LMB-063</t>
  </si>
  <si>
    <t xml:space="preserve">card-quest-btn</t>
  </si>
  <si>
    <t xml:space="preserve">SacredGame.Panel.html:L2124; SacredGame.Panel.html:L2198; SacredGame.Panel.html:L2252; SacredGame.Panel.html:L2483; SacredGame.Panel.html:L2505; SacredGame.Panel.html:L2512; SacredGame.Panel.html:L2539</t>
  </si>
  <si>
    <t xml:space="preserve">SacredGame.Panel.html:L1756</t>
  </si>
  <si>
    <t xml:space="preserve">LMB-064</t>
  </si>
  <si>
    <t xml:space="preserve">card-search-btn</t>
  </si>
  <si>
    <t xml:space="preserve">SacredGame.Panel.html:L2205; SacredGame.Panel.html:L2560</t>
  </si>
  <si>
    <t xml:space="preserve">SacredGame.Panel.html:L1777</t>
  </si>
  <si>
    <t xml:space="preserve">LMB-065</t>
  </si>
  <si>
    <t xml:space="preserve">center-stack</t>
  </si>
  <si>
    <t xml:space="preserve">SacredGame.Panel.html:L2313</t>
  </si>
  <si>
    <t xml:space="preserve">SacredGame.Panel.html:L1747</t>
  </si>
  <si>
    <t xml:space="preserve">LMB-066</t>
  </si>
  <si>
    <t xml:space="preserve">desc-quest</t>
  </si>
  <si>
    <t xml:space="preserve">SacredGame.Panel.html:L2484; SacredGame.Panel.html:L2506</t>
  </si>
  <si>
    <t xml:space="preserve">SacredGame.Panel.html:L1761</t>
  </si>
  <si>
    <t xml:space="preserve">LMB-067</t>
  </si>
  <si>
    <t xml:space="preserve">dynamic-font-override</t>
  </si>
  <si>
    <t xml:space="preserve">js/components/Component.NewJournal.html:L686</t>
  </si>
  <si>
    <t xml:space="preserve">js/components/Component.NewJournal.html:L689; js/components/Component.NewJournal.html:L689</t>
  </si>
  <si>
    <t xml:space="preserve">LMB-068</t>
  </si>
  <si>
    <t xml:space="preserve">event-log</t>
  </si>
  <si>
    <t xml:space="preserve">SacredGame.Panel.html:L2282; SacredGame.Panel.html:L2433</t>
  </si>
  <si>
    <t xml:space="preserve">SacredGame.Panel.html:L1879</t>
  </si>
  <si>
    <t xml:space="preserve">LMB-069</t>
  </si>
  <si>
    <t xml:space="preserve">font-size-display</t>
  </si>
  <si>
    <t xml:space="preserve">js/components/Component.NewJournal.html:L676</t>
  </si>
  <si>
    <t xml:space="preserve">js/components/Component.NewJournal.html:L573</t>
  </si>
  <si>
    <t xml:space="preserve">LMB-070</t>
  </si>
  <si>
    <t xml:space="preserve">guides-container</t>
  </si>
  <si>
    <t xml:space="preserve">SacredGame.Panel.html:L1945; SacredGame.Panel.html:L2096; SacredGame.Panel.html:L2107</t>
  </si>
  <si>
    <t xml:space="preserve">SacredGame.Panel.html:L1754</t>
  </si>
  <si>
    <t xml:space="preserve">LMB-071</t>
  </si>
  <si>
    <t xml:space="preserve">icon-logbook-axe</t>
  </si>
  <si>
    <t xml:space="preserve">SacredGame.Journal.html:L514; SacredGame.Journal.html:L551</t>
  </si>
  <si>
    <t xml:space="preserve">SacredGame.Journal.html:L210</t>
  </si>
  <si>
    <t xml:space="preserve">LMB-072</t>
  </si>
  <si>
    <t xml:space="preserve">left-panel</t>
  </si>
  <si>
    <t xml:space="preserve">SacredGame.Panel.html:L1985; SacredGame.Panel.html:L2004; SacredGame.Panel.html:L2114; SacredGame.Panel.html:L2314</t>
  </si>
  <si>
    <t xml:space="preserve">SacredGame.Panel.html:L1642</t>
  </si>
  <si>
    <t xml:space="preserve">LMB-073</t>
  </si>
  <si>
    <t xml:space="preserve">llm-input</t>
  </si>
  <si>
    <t xml:space="preserve">SacredGame.Panel.html:L2668; SacredGame.Panel.html:L2748; SacredGame.Panel.html:L2816; js/components/Component.NewJournal.html:L915</t>
  </si>
  <si>
    <t xml:space="preserve">js/components/Component.NewJournal.html:L592</t>
  </si>
  <si>
    <t xml:space="preserve">LMB-074</t>
  </si>
  <si>
    <t xml:space="preserve">loading</t>
  </si>
  <si>
    <t xml:space="preserve">js/components/Component.LoadingModal.html:L267; js/components/Component.LoadingModal.html:L640</t>
  </si>
  <si>
    <t xml:space="preserve">js/components/Component.LoadingModal.html:L221</t>
  </si>
  <si>
    <t xml:space="preserve">LMB-075</t>
  </si>
  <si>
    <t xml:space="preserve">loading-log</t>
  </si>
  <si>
    <t xml:space="preserve">js/components/Component.LoadingModal.html:L510</t>
  </si>
  <si>
    <t xml:space="preserve">js/components/Component.LoadingModal.html:L258</t>
  </si>
  <si>
    <t xml:space="preserve">LMB-076</t>
  </si>
  <si>
    <t xml:space="preserve">loading-video</t>
  </si>
  <si>
    <t xml:space="preserve">js/components/Component.LoadingModal.html:L268</t>
  </si>
  <si>
    <t xml:space="preserve">js/components/Component.LoadingModal.html:L222</t>
  </si>
  <si>
    <t xml:space="preserve">LMB-077</t>
  </si>
  <si>
    <t xml:space="preserve">logbookFrame</t>
  </si>
  <si>
    <t xml:space="preserve">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</si>
  <si>
    <t xml:space="preserve">SacredGame.Journal.html:L205</t>
  </si>
  <si>
    <t xml:space="preserve">LMB-078</t>
  </si>
  <si>
    <t xml:space="preserve">mobile-thumb-zone</t>
  </si>
  <si>
    <t xml:space="preserve">SacredGame.Panel.html:L1805</t>
  </si>
  <si>
    <t xml:space="preserve">SacredGame.Panel.html:L1644</t>
  </si>
  <si>
    <t xml:space="preserve">LMB-079</t>
  </si>
  <si>
    <t xml:space="preserve">p-logic</t>
  </si>
  <si>
    <t xml:space="preserve">js/components/Component.LoadingModal.html:L538; js/components/Component.LoadingModal.html:L586</t>
  </si>
  <si>
    <t xml:space="preserve">js/components/Component.LoadingModal.html:L247</t>
  </si>
  <si>
    <t xml:space="preserve">LMB-080</t>
  </si>
  <si>
    <t xml:space="preserve">p-logic-slot</t>
  </si>
  <si>
    <t xml:space="preserve">js/components/Component.LoadingModal.html:L541; js/components/Component.LoadingModal.html:L583; js/components/Component.LoadingModal.html:L621</t>
  </si>
  <si>
    <t xml:space="preserve">js/components/Component.LoadingModal.html:L248</t>
  </si>
  <si>
    <t xml:space="preserve">LMB-081</t>
  </si>
  <si>
    <t xml:space="preserve">page-content-left</t>
  </si>
  <si>
    <t xml:space="preserve">js/components/Component.NewJournal.html:L740</t>
  </si>
  <si>
    <t xml:space="preserve">js/components/Component.NewJournal.html:L544</t>
  </si>
  <si>
    <t xml:space="preserve">LMB-082</t>
  </si>
  <si>
    <t xml:space="preserve">page-content-right</t>
  </si>
  <si>
    <t xml:space="preserve">js/components/Component.NewJournal.html:L741</t>
  </si>
  <si>
    <t xml:space="preserve">js/components/Component.NewJournal.html:L555</t>
  </si>
  <si>
    <t xml:space="preserve">LMB-083</t>
  </si>
  <si>
    <t xml:space="preserve">page-num-left</t>
  </si>
  <si>
    <t xml:space="preserve">js/components/Component.NewJournal.html:L742</t>
  </si>
  <si>
    <t xml:space="preserve">js/components/Component.NewJournal.html:L546</t>
  </si>
  <si>
    <t xml:space="preserve">LMB-084</t>
  </si>
  <si>
    <t xml:space="preserve">page-num-right</t>
  </si>
  <si>
    <t xml:space="preserve">js/components/Component.NewJournal.html:L743</t>
  </si>
  <si>
    <t xml:space="preserve">js/components/Component.NewJournal.html:L562</t>
  </si>
  <si>
    <t xml:space="preserve">LMB-085</t>
  </si>
  <si>
    <t xml:space="preserve">panel-frame</t>
  </si>
  <si>
    <t xml:space="preserve">SacredGame.Journal.html:L329; js/v2/UIModule.js:L223</t>
  </si>
  <si>
    <t xml:space="preserve">js/v2/UIModule.js:L209</t>
  </si>
  <si>
    <t xml:space="preserve">LMB-086</t>
  </si>
  <si>
    <t xml:space="preserve">parser-feedback</t>
  </si>
  <si>
    <t xml:space="preserve">js/components/Component.NewJournal.html:L916; js/components/Component.NewJournal.html:L1304; js/components/Component.NewJournal.html:L1330</t>
  </si>
  <si>
    <t xml:space="preserve">js/components/Component.NewJournal.html:L596</t>
  </si>
  <si>
    <t xml:space="preserve">LMB-087</t>
  </si>
  <si>
    <t xml:space="preserve">pip-click-zone</t>
  </si>
  <si>
    <t xml:space="preserve">js/v2/UIModule.js:L235</t>
  </si>
  <si>
    <t xml:space="preserve">js/v2/UIModule.js:L219</t>
  </si>
  <si>
    <t xml:space="preserve">LMB-088</t>
  </si>
  <si>
    <t xml:space="preserve">res-indicator</t>
  </si>
  <si>
    <t xml:space="preserve">js/components/Component.NewJournal.html:L1207</t>
  </si>
  <si>
    <t xml:space="preserve">js/components/Component.NewJournal.html:L600</t>
  </si>
  <si>
    <t xml:space="preserve">LMB-089</t>
  </si>
  <si>
    <t xml:space="preserve">right-panel</t>
  </si>
  <si>
    <t xml:space="preserve">SacredGame.Panel.html:L2115; SacredGame.Panel.html:L2608</t>
  </si>
  <si>
    <t xml:space="preserve">SacredGame.Panel.html:L1663</t>
  </si>
  <si>
    <t xml:space="preserve">LMB-090</t>
  </si>
  <si>
    <t xml:space="preserve">sacred-logbook-engine</t>
  </si>
  <si>
    <t xml:space="preserve">js/components/Component.NewJournal.html:L628; js/components/Component.NewJournal.html:L641</t>
  </si>
  <si>
    <t xml:space="preserve">js/components/Component.NewJournal.html:L508</t>
  </si>
  <si>
    <t xml:space="preserve">LMB-091</t>
  </si>
  <si>
    <t xml:space="preserve">sanctuary-welcome-guide-css</t>
  </si>
  <si>
    <t xml:space="preserve">js/sanctuary/SanctuaryWelcomeGuide.js:L59</t>
  </si>
  <si>
    <t xml:space="preserve">js/sanctuary/SanctuaryWelcomeGuide.js:L61; js/sanctuary/SanctuaryWelcomeGuide.js:L61</t>
  </si>
  <si>
    <t xml:space="preserve">LMB-092</t>
  </si>
  <si>
    <t xml:space="preserve">setup-modal</t>
  </si>
  <si>
    <t xml:space="preserve">SacredGame.Panel.html:L1601; SacredGame.Panel.html:L1615; SacredGame.Panel.html:L1617</t>
  </si>
  <si>
    <t xml:space="preserve">SacredGame.Panel.html:L1606</t>
  </si>
  <si>
    <t xml:space="preserve">LMB-093</t>
  </si>
  <si>
    <t xml:space="preserve">sr-announcer</t>
  </si>
  <si>
    <t xml:space="preserve">js/components/Component.NewJournal.html:L631; js/components/Component.NewJournal.html:L644; js/components/Component.NewJournal.html:L678; js/components/Component.NewJournal.html:L747; js/components/Component.NewJournal.html:L983; js/components/Component.NewJournal.html:L1315</t>
  </si>
  <si>
    <t xml:space="preserve">js/components/Component.NewJournal.html:L506</t>
  </si>
  <si>
    <t xml:space="preserve">LMB-094</t>
  </si>
  <si>
    <t xml:space="preserve">tab-log</t>
  </si>
  <si>
    <t xml:space="preserve">js/components/Component.NewJournal.html:L633</t>
  </si>
  <si>
    <t xml:space="preserve">js/components/Component.NewJournal.html:L519</t>
  </si>
  <si>
    <t xml:space="preserve">LMB-095</t>
  </si>
  <si>
    <t xml:space="preserve">ui-layer</t>
  </si>
  <si>
    <t xml:space="preserve">SacredGame.Panel.html:L2677</t>
  </si>
  <si>
    <t xml:space="preserve">SacredGame.Panel.html:L1599</t>
  </si>
  <si>
    <t xml:space="preserve">LMB-096</t>
  </si>
  <si>
    <t xml:space="preserve">v2-anu-alert</t>
  </si>
  <si>
    <t xml:space="preserve">js/v2/OrchestratorHud.js:L672</t>
  </si>
  <si>
    <t xml:space="preserve">js/v2/OrchestratorHud.js:L40</t>
  </si>
  <si>
    <t xml:space="preserve">LMB-097</t>
  </si>
  <si>
    <t xml:space="preserve">v2-bench</t>
  </si>
  <si>
    <t xml:space="preserve">js/v2/OrchestratorHud.js:L613</t>
  </si>
  <si>
    <t xml:space="preserve">js/v2/OrchestratorHud.js:L80</t>
  </si>
  <si>
    <t xml:space="preserve">LMB-098</t>
  </si>
  <si>
    <t xml:space="preserve">v2-distance-pill</t>
  </si>
  <si>
    <t xml:space="preserve">js/v2/UIModule.js:L253</t>
  </si>
  <si>
    <t xml:space="preserve">js/v2/UIModule.js:L210</t>
  </si>
  <si>
    <t xml:space="preserve">LMB-099</t>
  </si>
  <si>
    <t xml:space="preserve">v2-draws</t>
  </si>
  <si>
    <t xml:space="preserve">js/v2/OrchestratorHud.js:L612</t>
  </si>
  <si>
    <t xml:space="preserve">js/v2/OrchestratorHud.js:L41</t>
  </si>
  <si>
    <t xml:space="preserve">LMB-100</t>
  </si>
  <si>
    <t xml:space="preserve">v2-font</t>
  </si>
  <si>
    <t xml:space="preserve">js/v2/OrchestratorHud.js:L96</t>
  </si>
  <si>
    <t xml:space="preserve">js/v2/OrchestratorHud.js:L98; js/v2/OrchestratorHud.js:L98</t>
  </si>
  <si>
    <t xml:space="preserve">LMB-101</t>
  </si>
  <si>
    <t xml:space="preserve">v2-fps</t>
  </si>
  <si>
    <t xml:space="preserve">js/v2/OrchestratorHud.js:L611</t>
  </si>
  <si>
    <t xml:space="preserve">js/v2/OrchestratorHud.js:L34</t>
  </si>
  <si>
    <t xml:space="preserve">LMB-102</t>
  </si>
  <si>
    <t xml:space="preserve">v2-frame-graph</t>
  </si>
  <si>
    <t xml:space="preserve">js/v2/OrchestratorHud.js:L652</t>
  </si>
  <si>
    <t xml:space="preserve">js/v2/OrchestratorHud.js:L36</t>
  </si>
  <si>
    <t xml:space="preserve">LMB-103</t>
  </si>
  <si>
    <t xml:space="preserve">v2-hud-trace-label</t>
  </si>
  <si>
    <t xml:space="preserve">js/v2/OrchestratorHud.js:L461</t>
  </si>
  <si>
    <t xml:space="preserve">js/v2/OrchestratorHud.js:L47</t>
  </si>
  <si>
    <t xml:space="preserve">LMB-104</t>
  </si>
  <si>
    <t xml:space="preserve">v2-hud-universe-label</t>
  </si>
  <si>
    <t xml:space="preserve">js/v2/OrchestratorHud.js:L205</t>
  </si>
  <si>
    <t xml:space="preserve">js/v2/OrchestratorHud.js:L74</t>
  </si>
  <si>
    <t xml:space="preserve">LMB-105</t>
  </si>
  <si>
    <t xml:space="preserve">v2-load</t>
  </si>
  <si>
    <t xml:space="preserve">js/v2/OrchestratorHud.js:L650</t>
  </si>
  <si>
    <t xml:space="preserve">js/v2/OrchestratorHud.js:L37</t>
  </si>
  <si>
    <t xml:space="preserve">LMB-106</t>
  </si>
  <si>
    <t xml:space="preserve">v2-load-detail</t>
  </si>
  <si>
    <t xml:space="preserve">js/v2/OrchestratorHud.js:L651</t>
  </si>
  <si>
    <t xml:space="preserve">js/v2/OrchestratorHud.js:L38</t>
  </si>
  <si>
    <t xml:space="preserve">LMB-107</t>
  </si>
  <si>
    <t xml:space="preserve">v2-map-picker</t>
  </si>
  <si>
    <t xml:space="preserve">js/v2/OrchestratorHud.js:L540</t>
  </si>
  <si>
    <t xml:space="preserve">js/v2/OrchestratorHud.js:L85</t>
  </si>
  <si>
    <t xml:space="preserve">LMB-108</t>
  </si>
  <si>
    <t xml:space="preserve">v2-modules</t>
  </si>
  <si>
    <t xml:space="preserve">js/v2/OrchestratorHud.js:L589</t>
  </si>
  <si>
    <t xml:space="preserve">js/v2/OrchestratorHud.js:L79</t>
  </si>
  <si>
    <t xml:space="preserve">LMB-109</t>
  </si>
  <si>
    <t xml:space="preserve">v2-orchestrator-hud</t>
  </si>
  <si>
    <t xml:space="preserve">js/sanctuary/SanctuaryToolPalette.js:L478; js/v2/OrchestratorHud.js:L879; js/v2/OrchestratorHud.js:L938; index.html:L437; index.html:L868</t>
  </si>
  <si>
    <t xml:space="preserve">js/v2/OrchestratorHud.js:L152; js/v2/OrchestratorHud.js:L152</t>
  </si>
  <si>
    <t xml:space="preserve">LMB-110</t>
  </si>
  <si>
    <t xml:space="preserve">v2-orchestrator-hud-mobile-css</t>
  </si>
  <si>
    <t xml:space="preserve">js/v2/OrchestratorHud.js:L108</t>
  </si>
  <si>
    <t xml:space="preserve">js/v2/OrchestratorHud.js:L110; js/v2/OrchestratorHud.js:L110</t>
  </si>
  <si>
    <t xml:space="preserve">LMB-111</t>
  </si>
  <si>
    <t xml:space="preserve">v2-panels-pip</t>
  </si>
  <si>
    <t xml:space="preserve">js/v2/OrchestratorHud.js:L887; js/v2/OrchestratorHud.js:L939</t>
  </si>
  <si>
    <t xml:space="preserve">js/v2/UIModule.js:L42; js/v2/UIModule.js:L42</t>
  </si>
  <si>
    <t xml:space="preserve">LMB-112</t>
  </si>
  <si>
    <t xml:space="preserve">v2-pip</t>
  </si>
  <si>
    <t xml:space="preserve">js/v2/OrchestratorHud.js:L637</t>
  </si>
  <si>
    <t xml:space="preserve">js/v2/OrchestratorHud.js:L42</t>
  </si>
  <si>
    <t xml:space="preserve">LMB-113</t>
  </si>
  <si>
    <t xml:space="preserve">v2-pip-canvas</t>
  </si>
  <si>
    <t xml:space="preserve">js/v2/Orchestrator.js:L1417; js/v2/UIModule.js:L226</t>
  </si>
  <si>
    <t xml:space="preserve">js/v2/UIModule.js:L218</t>
  </si>
  <si>
    <t xml:space="preserve">LMB-114</t>
  </si>
  <si>
    <t xml:space="preserve">v2-trace-accordion-body</t>
  </si>
  <si>
    <t xml:space="preserve">js/v2/OrchestratorHud.js:L462</t>
  </si>
  <si>
    <t xml:space="preserve">js/v2/OrchestratorHud.js:L61</t>
  </si>
  <si>
    <t xml:space="preserve">LMB-115</t>
  </si>
  <si>
    <t xml:space="preserve">v2-trace-copy-pill</t>
  </si>
  <si>
    <t xml:space="preserve">js/v2/OrchestratorHud.js:L465</t>
  </si>
  <si>
    <t xml:space="preserve">js/v2/OrchestratorHud.js:L56</t>
  </si>
  <si>
    <t xml:space="preserve">LMB-116</t>
  </si>
  <si>
    <t xml:space="preserve">v2-trace-dur</t>
  </si>
  <si>
    <t xml:space="preserve">js/v2/OrchestratorHud.js:L464</t>
  </si>
  <si>
    <t xml:space="preserve">js/v2/OrchestratorHud.js:L54</t>
  </si>
  <si>
    <t xml:space="preserve">LMB-117</t>
  </si>
  <si>
    <t xml:space="preserve">v2-trace-spark</t>
  </si>
  <si>
    <t xml:space="preserve">js/v2/OrchestratorHud.js:L480</t>
  </si>
  <si>
    <t xml:space="preserve">js/v2/OrchestratorHud.js:L62</t>
  </si>
  <si>
    <t xml:space="preserve">LMB-118</t>
  </si>
  <si>
    <t xml:space="preserve">v2-trace-stats</t>
  </si>
  <si>
    <t xml:space="preserve">js/v2/OrchestratorHud.js:L474; js/v2/OrchestratorHud.js:L482</t>
  </si>
  <si>
    <t xml:space="preserve">js/v2/OrchestratorHud.js:L66</t>
  </si>
  <si>
    <t xml:space="preserve">LMB-119</t>
  </si>
  <si>
    <t xml:space="preserve">v2-trace-toggle-icon</t>
  </si>
  <si>
    <t xml:space="preserve">js/v2/OrchestratorHud.js:L463</t>
  </si>
  <si>
    <t xml:space="preserve">js/v2/OrchestratorHud.js:L52</t>
  </si>
  <si>
    <t xml:space="preserve">LMB-120</t>
  </si>
  <si>
    <t xml:space="preserve">v2-universe-accordion-body</t>
  </si>
  <si>
    <t xml:space="preserve">js/v2/OrchestratorHud.js:L206</t>
  </si>
  <si>
    <t xml:space="preserve">js/v2/OrchestratorHud.js:L78</t>
  </si>
  <si>
    <t xml:space="preserve">LMB-121</t>
  </si>
  <si>
    <t xml:space="preserve">v2-universe-count</t>
  </si>
  <si>
    <t xml:space="preserve">js/v2/OrchestratorHud.js:L590</t>
  </si>
  <si>
    <t xml:space="preserve">js/v2/OrchestratorHud.js:L76</t>
  </si>
  <si>
    <t xml:space="preserve">LMB-122</t>
  </si>
  <si>
    <t xml:space="preserve">v2-universe-pct</t>
  </si>
  <si>
    <t xml:space="preserve">js/v2/OrchestratorHud.js:L706</t>
  </si>
  <si>
    <t xml:space="preserve">js/v2/OrchestratorHud.js:L75</t>
  </si>
  <si>
    <t xml:space="preserve">LMB-123</t>
  </si>
  <si>
    <t xml:space="preserve">v2-universe-toggle-icon</t>
  </si>
  <si>
    <t xml:space="preserve">js/v2/OrchestratorHud.js:L207</t>
  </si>
  <si>
    <t xml:space="preserve">LMB-124</t>
  </si>
  <si>
    <t xml:space="preserve">v4-ambient-style</t>
  </si>
  <si>
    <t xml:space="preserve">js/sanctuary/SanctuaryAmbient.js:L240</t>
  </si>
  <si>
    <t xml:space="preserve">js/sanctuary/SanctuaryAmbient.js:L170; js/sanctuary/SanctuaryAmbient.js:L170</t>
  </si>
  <si>
    <t xml:space="preserve">LMB-125</t>
  </si>
  <si>
    <t xml:space="preserve">v4-banner</t>
  </si>
  <si>
    <t xml:space="preserve">index.html:L766</t>
  </si>
  <si>
    <t xml:space="preserve">index.html:L325</t>
  </si>
  <si>
    <t xml:space="preserve">LMB-126</t>
  </si>
  <si>
    <t xml:space="preserve">v4-btn-clear-scene</t>
  </si>
  <si>
    <t xml:space="preserve">js/sanctuary/SanctuaryToolPalette.js:L460</t>
  </si>
  <si>
    <t xml:space="preserve">js/sanctuary/SanctuaryToolPalette.js:L370; js/sanctuary/SanctuaryToolPalette.js:L370</t>
  </si>
  <si>
    <t xml:space="preserve">LMB-127</t>
  </si>
  <si>
    <t xml:space="preserve">v4-btn-gen-scene</t>
  </si>
  <si>
    <t xml:space="preserve">js/sanctuary/SanctuaryToolPalette.js:L453</t>
  </si>
  <si>
    <t xml:space="preserve">js/sanctuary/SanctuaryToolPalette.js:L365; js/sanctuary/SanctuaryToolPalette.js:L365</t>
  </si>
  <si>
    <t xml:space="preserve">LMB-128</t>
  </si>
  <si>
    <t xml:space="preserve">v4-btn-journal</t>
  </si>
  <si>
    <t xml:space="preserve">js/sanctuary/SanctuaryControls.js:L245</t>
  </si>
  <si>
    <t xml:space="preserve">js/sanctuary/SanctuaryControls.js:L171</t>
  </si>
  <si>
    <t xml:space="preserve">LMB-129</t>
  </si>
  <si>
    <t xml:space="preserve">v4-btn-panel</t>
  </si>
  <si>
    <t xml:space="preserve">js/sanctuary/SanctuaryControls.js:L240</t>
  </si>
  <si>
    <t xml:space="preserve">js/sanctuary/SanctuaryControls.js:L170</t>
  </si>
  <si>
    <t xml:space="preserve">LMB-130</t>
  </si>
  <si>
    <t xml:space="preserve">v4-btn-reset</t>
  </si>
  <si>
    <t xml:space="preserve">js/sanctuary/SanctuaryControls.js:L254</t>
  </si>
  <si>
    <t xml:space="preserve">js/sanctuary/SanctuaryControls.js:L174</t>
  </si>
  <si>
    <t xml:space="preserve">LMB-131</t>
  </si>
  <si>
    <t xml:space="preserve">v4-btn-save</t>
  </si>
  <si>
    <t xml:space="preserve">js/sanctuary/SanctuaryControls.js:L270</t>
  </si>
  <si>
    <t xml:space="preserve">js/sanctuary/SanctuaryControls.js:L175</t>
  </si>
  <si>
    <t xml:space="preserve">LMB-132</t>
  </si>
  <si>
    <t xml:space="preserve">v4-btn-top</t>
  </si>
  <si>
    <t xml:space="preserve">js/sanctuary/SanctuaryControls.js:L233</t>
  </si>
  <si>
    <t xml:space="preserve">js/sanctuary/SanctuaryControls.js:L169</t>
  </si>
  <si>
    <t xml:space="preserve">LMB-133</t>
  </si>
  <si>
    <t xml:space="preserve">v4-canvas</t>
  </si>
  <si>
    <t xml:space="preserve">index.html:L430; index.html:L891</t>
  </si>
  <si>
    <t xml:space="preserve">index.html:L291</t>
  </si>
  <si>
    <t xml:space="preserve">LMB-134</t>
  </si>
  <si>
    <t xml:space="preserve">v4-confirm-cancel</t>
  </si>
  <si>
    <t xml:space="preserve">js/sanctuary/SanctuaryControls.js:L257</t>
  </si>
  <si>
    <t xml:space="preserve">js/sanctuary/SanctuaryControls.js:L187</t>
  </si>
  <si>
    <t xml:space="preserve">LMB-135</t>
  </si>
  <si>
    <t xml:space="preserve">v4-confirm-yes</t>
  </si>
  <si>
    <t xml:space="preserve">js/sanctuary/SanctuaryControls.js:L260</t>
  </si>
  <si>
    <t xml:space="preserve">js/sanctuary/SanctuaryControls.js:L188</t>
  </si>
  <si>
    <t xml:space="preserve">LMB-136</t>
  </si>
  <si>
    <t xml:space="preserve">v4-controls</t>
  </si>
  <si>
    <t xml:space="preserve">js/sanctuary/SanctuaryAmbient.js:L189; js/sanctuary/SanctuaryDayNight.js:L89; js/sanctuary/SanctuaryWeather.js:L111</t>
  </si>
  <si>
    <t xml:space="preserve">js/sanctuary/SanctuaryControls.js:L158; js/sanctuary/SanctuaryControls.js:L158</t>
  </si>
  <si>
    <t xml:space="preserve">LMB-137</t>
  </si>
  <si>
    <t xml:space="preserve">v4-controls-style</t>
  </si>
  <si>
    <t xml:space="preserve">js/sanctuary/SanctuaryControls.js:L149; js/sanctuary/SanctuaryControls.js:L364</t>
  </si>
  <si>
    <t xml:space="preserve">js/sanctuary/SanctuaryControls.js:L151; js/sanctuary/SanctuaryControls.js:L151</t>
  </si>
  <si>
    <t xml:space="preserve">LMB-138</t>
  </si>
  <si>
    <t xml:space="preserve">v4-fishing-pip-glass-style</t>
  </si>
  <si>
    <t xml:space="preserve">js/sanctuary/SanctuaryFishing.js:L1012</t>
  </si>
  <si>
    <t xml:space="preserve">js/sanctuary/SanctuaryFishing.js:L1014; js/sanctuary/SanctuaryFishing.js:L1014</t>
  </si>
  <si>
    <t xml:space="preserve">LMB-139</t>
  </si>
  <si>
    <t xml:space="preserve">v4-inventory-style</t>
  </si>
  <si>
    <t xml:space="preserve">js/sanctuary/SanctuaryInventory.js:L96; js/sanctuary/SanctuaryInventory.js:L224</t>
  </si>
  <si>
    <t xml:space="preserve">js/sanctuary/SanctuaryInventory.js:L98; js/sanctuary/SanctuaryInventory.js:L98</t>
  </si>
  <si>
    <t xml:space="preserve">LMB-140</t>
  </si>
  <si>
    <t xml:space="preserve">v4-journal-frame</t>
  </si>
  <si>
    <t xml:space="preserve">index.html:L676</t>
  </si>
  <si>
    <t xml:space="preserve">index.html:L304</t>
  </si>
  <si>
    <t xml:space="preserve">LMB-141</t>
  </si>
  <si>
    <t xml:space="preserve">v4-journal-overlay</t>
  </si>
  <si>
    <t xml:space="preserve">js/sanctuary/SanctuaryKeyboardLook.js:L276; index.html:L675; index.html:L699</t>
  </si>
  <si>
    <t xml:space="preserve">index.html:L296</t>
  </si>
  <si>
    <t xml:space="preserve">LMB-142</t>
  </si>
  <si>
    <t xml:space="preserve">v4-journal-overlay-close</t>
  </si>
  <si>
    <t xml:space="preserve">index.html:L697</t>
  </si>
  <si>
    <t xml:space="preserve">index.html:L299</t>
  </si>
  <si>
    <t xml:space="preserve">LMB-143</t>
  </si>
  <si>
    <t xml:space="preserve">v4-loading-iframe</t>
  </si>
  <si>
    <t xml:space="preserve">index.html:L67; index.html:L383; index.html:L410</t>
  </si>
  <si>
    <t xml:space="preserve">index.html:L285</t>
  </si>
  <si>
    <t xml:space="preserve">LMB-144</t>
  </si>
  <si>
    <t xml:space="preserve">v4-map-type-select</t>
  </si>
  <si>
    <t xml:space="preserve">js/sanctuary/SanctuaryToolPalette.js:L411</t>
  </si>
  <si>
    <t xml:space="preserve">js/sanctuary/SanctuaryToolPalette.js:L308; js/sanctuary/SanctuaryToolPalette.js:L308</t>
  </si>
  <si>
    <t xml:space="preserve">LMB-145</t>
  </si>
  <si>
    <t xml:space="preserve">v4-panel-frame</t>
  </si>
  <si>
    <t xml:space="preserve">index.html:L725</t>
  </si>
  <si>
    <t xml:space="preserve">index.html:L320</t>
  </si>
  <si>
    <t xml:space="preserve">LMB-146</t>
  </si>
  <si>
    <t xml:space="preserve">v4-tool-cursor-style</t>
  </si>
  <si>
    <t xml:space="preserve">js/sanctuary/SanctuaryCursor.js:L66; js/sanctuary/SanctuaryCursor.js:L120</t>
  </si>
  <si>
    <t xml:space="preserve">js/sanctuary/SanctuaryCursor.js:L68; js/sanctuary/SanctuaryCursor.js:L68</t>
  </si>
  <si>
    <t xml:space="preserve">LMB-147</t>
  </si>
  <si>
    <t xml:space="preserve">v4-village-build-style</t>
  </si>
  <si>
    <t xml:space="preserve">js/sanctuary/SanctuaryToolPalette.js:L274; js/sanctuary/SanctuaryToolPalette.js:L516</t>
  </si>
  <si>
    <t xml:space="preserve">js/sanctuary/SanctuaryToolPalette.js:L276; js/sanctuary/SanctuaryToolPalette.js:L276</t>
  </si>
  <si>
    <t xml:space="preserve">LMB-148</t>
  </si>
  <si>
    <t xml:space="preserve">v4-walk-hide-style</t>
  </si>
  <si>
    <t xml:space="preserve">js/sanctuary/SanctuaryKeyboardLook.js:L93</t>
  </si>
  <si>
    <t xml:space="preserve">js/sanctuary/SanctuaryKeyboardLook.js:L95; js/sanctuary/SanctuaryKeyboardLook.js:L95</t>
  </si>
  <si>
    <t xml:space="preserve">LMB-149</t>
  </si>
  <si>
    <t xml:space="preserve">js/v2/Orchestrator.js:L1630</t>
  </si>
  <si>
    <t xml:space="preserve">js/v2/anu/PipOrthoRingDiskClip.js:L44</t>
  </si>
  <si>
    <t xml:space="preserve">LMB-150</t>
  </si>
  <si>
    <t xml:space="preserve">js/v2/OrchestratorHud.js:L92</t>
  </si>
  <si>
    <t xml:space="preserve">js/v2/UIModule.js:L38</t>
  </si>
  <si>
    <t xml:space="preserve">LMB-151</t>
  </si>
  <si>
    <t xml:space="preserve">js/v2/Orchestrator.js:L1411; js/v2/UIModule.js:L231; js/v2/UIModule.js:L248</t>
  </si>
  <si>
    <t xml:space="preserve">js/sanctuary/SanctuaryWorldPlayerShim.js:L44</t>
  </si>
  <si>
    <t xml:space="preserve">LMB-152</t>
  </si>
  <si>
    <t xml:space="preserve">ADD_PAGE</t>
  </si>
  <si>
    <t xml:space="preserve">SacredGame.Panel.html:L2367; SacredGame.Panel.html:L2414</t>
  </si>
  <si>
    <t xml:space="preserve">js/components/Component.NewJournal.html:L1298; SacredGame.Journal.html:L504 (relay list)</t>
  </si>
  <si>
    <t xml:space="preserve">LMB-153</t>
  </si>
  <si>
    <t xml:space="preserve">BOOT_ERROR</t>
  </si>
  <si>
    <t xml:space="preserve">index.html:L68</t>
  </si>
  <si>
    <t xml:space="preserve">js/components/Component.LoadingModal.html:L500</t>
  </si>
  <si>
    <t xml:space="preserve">LMB-154</t>
  </si>
  <si>
    <t xml:space="preserve">CANVAS_CLICK</t>
  </si>
  <si>
    <t xml:space="preserve">SacredGame.Panel.html:L2896</t>
  </si>
  <si>
    <t xml:space="preserve">index.html:L885</t>
  </si>
  <si>
    <t xml:space="preserve">LMB-155</t>
  </si>
  <si>
    <t xml:space="preserve">CLOSE_LOGBOOK</t>
  </si>
  <si>
    <t xml:space="preserve">SacredGame.Panel.html:L2067; SacredGame.Journal.html:L376</t>
  </si>
  <si>
    <t xml:space="preserve">index.html:L716; SacredGame.Panel.html:L2065; SacredGame.Journal.html:L455</t>
  </si>
  <si>
    <t xml:space="preserve">LMB-156</t>
  </si>
  <si>
    <t xml:space="preserve">DO_OPEN_FLIP</t>
  </si>
  <si>
    <t xml:space="preserve">SacredGame.Journal.html:L350; SacredGame.Journal.html:L357</t>
  </si>
  <si>
    <t xml:space="preserve">js/components/Component.NewJournal.html:L1238; SacredGame.Journal.html:L504 (relay list)</t>
  </si>
  <si>
    <t xml:space="preserve">LMB-157</t>
  </si>
  <si>
    <t xml:space="preserve">FISH_ACTION</t>
  </si>
  <si>
    <t xml:space="preserve">SacredGame.Panel.html:L2553</t>
  </si>
  <si>
    <t xml:space="preserve">index.html:L785</t>
  </si>
  <si>
    <t xml:space="preserve">LMB-158</t>
  </si>
  <si>
    <t xml:space="preserve">FORCE_OPEN_JOURNAL</t>
  </si>
  <si>
    <t xml:space="preserve">index.html:L689</t>
  </si>
  <si>
    <t xml:space="preserve">SacredGame.Journal.html:L430; SacredGame.Panel.html:L2224 (relay list)</t>
  </si>
  <si>
    <t xml:space="preserve">LMB-159</t>
  </si>
  <si>
    <t xml:space="preserve">GO_TO_PAGE</t>
  </si>
  <si>
    <t xml:space="preserve">SacredGame.Panel.html:L2340; SacredGame.Journal.html:L436; SacredGame.Journal.html:L469; SacredGame.Journal.html:L479; SacredGame.Journal.html:L498</t>
  </si>
  <si>
    <t xml:space="preserve">js/components/Component.NewJournal.html:L1243; SacredGame.Journal.html:L504 (relay list)</t>
  </si>
  <si>
    <t xml:space="preserve">LMB-160</t>
  </si>
  <si>
    <t xml:space="preserve">JOURNAL_CLOSED</t>
  </si>
  <si>
    <t xml:space="preserve">SacredGame.Journal.html:L374</t>
  </si>
  <si>
    <t xml:space="preserve">js/sanctuary/SanctuaryJournalBridge.js:L106; js/sanctuary/SanctuaryJournalBridge.js:L109; SacredGame.Panel.html:L2104</t>
  </si>
  <si>
    <t xml:space="preserve">LMB-161</t>
  </si>
  <si>
    <t xml:space="preserve">JOURNAL_OPENED</t>
  </si>
  <si>
    <t xml:space="preserve">SacredGame.Journal.html:L364</t>
  </si>
  <si>
    <t xml:space="preserve">js/sanctuary/SanctuaryJournalBridge.js:L106; js/sanctuary/SanctuaryJournalBridge.js:L107; SacredGame.Panel.html:L2094</t>
  </si>
  <si>
    <t xml:space="preserve">LMB-162</t>
  </si>
  <si>
    <t xml:space="preserve">KEY_FORWARD</t>
  </si>
  <si>
    <t xml:space="preserve">SacredGame.Panel.html:L2024; SacredGame.Panel.html:L2731; SacredGame.Panel.html:L2740; SacredGame.Journal.html:L616; SacredGame.Journal.html:L620</t>
  </si>
  <si>
    <t xml:space="preserve">SacredGame.Panel.html:L2459</t>
  </si>
  <si>
    <t xml:space="preserve">LMB-163</t>
  </si>
  <si>
    <t xml:space="preserve">LOGBOOK_ASPECT</t>
  </si>
  <si>
    <t xml:space="preserve">SacredGame.Journal.html:L244; SacredGame.Journal.html:L262</t>
  </si>
  <si>
    <t xml:space="preserve">SacredGame.Journal.html:L504 (relay list)</t>
  </si>
  <si>
    <t xml:space="preserve">LMB-164</t>
  </si>
  <si>
    <t xml:space="preserve">LOGBOOK_VISIBILITY</t>
  </si>
  <si>
    <t xml:space="preserve">SacredGame.Journal.html:L365; SacredGame.Journal.html:L375</t>
  </si>
  <si>
    <t xml:space="preserve">js/sanctuary/SanctuaryJournalBridge.js:L106</t>
  </si>
  <si>
    <t xml:space="preserve">LMB-165</t>
  </si>
  <si>
    <t xml:space="preserve">OPEN_LOGBOOK</t>
  </si>
  <si>
    <t xml:space="preserve">SacredGame.Panel.html:L2102</t>
  </si>
  <si>
    <t xml:space="preserve">SacredGame.Journal.html:L430</t>
  </si>
  <si>
    <t xml:space="preserve">LMB-166</t>
  </si>
  <si>
    <t xml:space="preserve">QUEST_AUTOWALK</t>
  </si>
  <si>
    <t xml:space="preserve">SacredGame.Panel.html:L2476</t>
  </si>
  <si>
    <t xml:space="preserve">SacredGame.Panel.html:L2089</t>
  </si>
  <si>
    <t xml:space="preserve">LMB-167</t>
  </si>
  <si>
    <t xml:space="preserve">REQ_ALIGN_TIPI</t>
  </si>
  <si>
    <t xml:space="preserve">js/components/Component.NewJournal.html:L1143</t>
  </si>
  <si>
    <t xml:space="preserve">SacredGame.Journal.html:L558; SacredGame.Panel.html:L2469 (relay list)</t>
  </si>
  <si>
    <t xml:space="preserve">LMB-168</t>
  </si>
  <si>
    <t xml:space="preserve">SacredGame.Panel.html:L2364</t>
  </si>
  <si>
    <t xml:space="preserve">SacredGame.Panel.html:L2267</t>
  </si>
  <si>
    <t xml:space="preserve">LMB-169</t>
  </si>
  <si>
    <t xml:space="preserve">REQ_HIDE_AXE</t>
  </si>
  <si>
    <t xml:space="preserve">js/components/Component.NewJournal.html:L648; js/components/Component.NewJournal.html:L1152; js/components/Component.NewJournal.html:L1165</t>
  </si>
  <si>
    <t xml:space="preserve">SacredGame.Journal.html:L550; SacredGame.Panel.html:L2469 (relay list)</t>
  </si>
  <si>
    <t xml:space="preserve">LMB-170</t>
  </si>
  <si>
    <t xml:space="preserve">REQ_HIDE_TIPI</t>
  </si>
  <si>
    <t xml:space="preserve">SacredGame.Journal.html:L377; js/components/Component.NewJournal.html:L647; js/components/Component.NewJournal.html:L1127; js/components/Component.NewJournal.html:L1145</t>
  </si>
  <si>
    <t xml:space="preserve">SacredGame.Journal.html:L579; SacredGame.Panel.html:L2469 (relay list)</t>
  </si>
  <si>
    <t xml:space="preserve">LMB-171</t>
  </si>
  <si>
    <t xml:space="preserve">REQ_START_AUTO_WALK</t>
  </si>
  <si>
    <t xml:space="preserve">SacredGame.Panel.html:L2086; SacredGame.Panel.html:L2348</t>
  </si>
  <si>
    <t xml:space="preserve">index.html:L901</t>
  </si>
  <si>
    <t xml:space="preserve">LMB-172</t>
  </si>
  <si>
    <t xml:space="preserve">REQ_TOGGLE_JOURNAL</t>
  </si>
  <si>
    <t xml:space="preserve">SacredGame.Panel.html:L2571</t>
  </si>
  <si>
    <t xml:space="preserve">index.html:L751</t>
  </si>
  <si>
    <t xml:space="preserve">LMB-173</t>
  </si>
  <si>
    <t xml:space="preserve">REQ_TOGGLE_LOGBOOK</t>
  </si>
  <si>
    <t xml:space="preserve">js/components/Component.NewJournal.html:L650</t>
  </si>
  <si>
    <t xml:space="preserve">index.html:L717; SacredGame.Panel.html:L2261; SacredGame.Journal.html:L424</t>
  </si>
  <si>
    <t xml:space="preserve">LMB-174</t>
  </si>
  <si>
    <t xml:space="preserve">RETURN_TO_GAME</t>
  </si>
  <si>
    <t xml:space="preserve">js/components/Component.NewJournal.html:L651</t>
  </si>
  <si>
    <t xml:space="preserve">index.html:L716</t>
  </si>
  <si>
    <t xml:space="preserve">LMB-175</t>
  </si>
  <si>
    <t xml:space="preserve">SWITCH_TAB</t>
  </si>
  <si>
    <t xml:space="preserve">SacredGame.Panel.html:L2339; SacredGame.Panel.html:L2356; SacredGame.Panel.html:L2377; SacredGame.Panel.html:L2426; SacredGame.Journal.html:L489</t>
  </si>
  <si>
    <t xml:space="preserve">js/components/Component.NewJournal.html:L1250; SacredGame.Journal.html:L504 (relay list)</t>
  </si>
  <si>
    <t xml:space="preserve">LMB-176</t>
  </si>
  <si>
    <t xml:space="preserve">THUMB_MOVE</t>
  </si>
  <si>
    <t xml:space="preserve">SacredGame.Panel.html:L1841; SacredGame.Panel.html:L1855</t>
  </si>
  <si>
    <t xml:space="preserve">index.html:L882</t>
  </si>
  <si>
    <t xml:space="preserve">LMB-177</t>
  </si>
  <si>
    <t xml:space="preserve">js/v2/UIModule.js:L233; js/components/Component.NewJournal.html:L815</t>
  </si>
  <si>
    <t xml:space="preserve">index.html:L876</t>
  </si>
  <si>
    <t xml:space="preserve">LMB-178</t>
  </si>
  <si>
    <t xml:space="preserve">VIDEO_READY</t>
  </si>
  <si>
    <t xml:space="preserve">js/components/Component.LoadingModal.html:L275</t>
  </si>
  <si>
    <t xml:space="preserve">index.html:L417</t>
  </si>
  <si>
    <t xml:space="preserve">LMB-179</t>
  </si>
  <si>
    <t xml:space="preserve">VISIBILITY_CHANGE</t>
  </si>
  <si>
    <t xml:space="preserve">index.html:L690; index.html:L730; SacredGame.Journal.html:L351; SacredGame.Journal.html:L358; SacredGame.Journal.html:L370</t>
  </si>
  <si>
    <t xml:space="preserve">js/components/Component.NewJournal.html:L1225; SacredGame.Journal.html:L504 (relay list)</t>
  </si>
  <si>
    <t xml:space="preserve">LMB-180</t>
  </si>
  <si>
    <t xml:space="preserve">VOLUME_CHANGE</t>
  </si>
  <si>
    <t xml:space="preserve">SacredGame.Panel.html:L2450; SacredGame.Panel.html:L2452</t>
  </si>
  <si>
    <t xml:space="preserve">SacredGame.Panel.html:L2456</t>
  </si>
  <si>
    <t xml:space="preserve">LMB-181</t>
  </si>
  <si>
    <t xml:space="preserve">js/sanctuary/SanctuaryToolPalette.js:L438</t>
  </si>
  <si>
    <t xml:space="preserve">js/sanctuary/SanctuaryBraziers.js:L315</t>
  </si>
  <si>
    <t xml:space="preserve">LMB-182</t>
  </si>
  <si>
    <t xml:space="preserve">__regenerateDock</t>
  </si>
  <si>
    <t xml:space="preserve">js/sanctuary/SanctuaryToolPalette.js:L448</t>
  </si>
  <si>
    <t xml:space="preserve">js/sanctuary/SanctuaryDock.js:L458</t>
  </si>
  <si>
    <t xml:space="preserve">LMB-183</t>
  </si>
  <si>
    <t xml:space="preserve">js/sanctuary/SanctuaryToolPalette.js:L433</t>
  </si>
  <si>
    <t xml:space="preserve">js/sanctuary/SanctuaryTipiNpcs.js:L290</t>
  </si>
  <si>
    <t xml:space="preserve">LMB-184</t>
  </si>
  <si>
    <t xml:space="preserve">__regenerateTipis</t>
  </si>
  <si>
    <t xml:space="preserve">js/sanctuary/SanctuaryToolPalette.js:L428</t>
  </si>
  <si>
    <t xml:space="preserve">js/sanctuary/SanctuaryTipis.js:L336</t>
  </si>
  <si>
    <t xml:space="preserve">LMB-185</t>
  </si>
  <si>
    <t xml:space="preserve">__sanctuaryFishingSpawnRipple</t>
  </si>
  <si>
    <t xml:space="preserve">js/sanctuary/SanctuaryFish.js:L1209; js/sanctuary/SanctuaryFish.js:L1258; js/sanctuary/SanctuaryFish.js:L1342; js/sanctuary/SanctuaryFishing.js:L2230</t>
  </si>
  <si>
    <t xml:space="preserve">js/sanctuary/SanctuaryFishing.js:L991</t>
  </si>
  <si>
    <t xml:space="preserve">LMB-186</t>
  </si>
  <si>
    <t xml:space="preserve">__sanctuarySpawnBabyFish</t>
  </si>
  <si>
    <t xml:space="preserve">js/sanctuary/SanctuaryFish.js:L604; js/sanctuary/SanctuaryFishing.js:L2439</t>
  </si>
  <si>
    <t xml:space="preserve">js/sanctuary/SanctuaryFish.js:L547</t>
  </si>
  <si>
    <t xml:space="preserve">LMB-187</t>
  </si>
  <si>
    <t xml:space="preserve">_v4CancelClickToMove</t>
  </si>
  <si>
    <t xml:space="preserve">js/sanctuary/SanctuaryFishing.js:L1521; js/sanctuary/SanctuaryFishing.js:L2641; js/sanctuary/SanctuaryKeyboardLook.js:L80; js/sanctuary/SanctuaryKeyboardLook.js:L136; js/sanctuary/SanctuaryKeyboardLook.js:L170; index.html:L828; index.html:L904</t>
  </si>
  <si>
    <t xml:space="preserve">js/sanctuary/SanctuaryClickToMove.js:L223</t>
  </si>
  <si>
    <t xml:space="preserve">LMB-188</t>
  </si>
  <si>
    <t xml:space="preserve">_v4SmartWalkTo</t>
  </si>
  <si>
    <t xml:space="preserve">index.html:L854; index.html:L858</t>
  </si>
  <si>
    <t xml:space="preserve">js/sanctuary/SanctuaryClickToMove.js:L252</t>
  </si>
  <si>
    <t xml:space="preserve">LMB-189</t>
  </si>
  <si>
    <t xml:space="preserve">_v4StartFishing</t>
  </si>
  <si>
    <t xml:space="preserve">index.html:L832</t>
  </si>
  <si>
    <t xml:space="preserve">js/sanctuary/SanctuaryFishing.js:L1272</t>
  </si>
  <si>
    <t xml:space="preserve">LMB-190</t>
  </si>
  <si>
    <t xml:space="preserve">_v4ToggleJournal</t>
  </si>
  <si>
    <t xml:space="preserve">js/sanctuary/SanctuaryControls.js:L246; index.html:L294; index.html:L661</t>
  </si>
  <si>
    <t xml:space="preserve">index.html:L693</t>
  </si>
  <si>
    <t xml:space="preserve">LMB-191</t>
  </si>
  <si>
    <t xml:space="preserve">_v4TogglePanel</t>
  </si>
  <si>
    <t xml:space="preserve">js/sanctuary/SanctuaryControls.js:L241; index.html:L313; index.html:L791</t>
  </si>
  <si>
    <t xml:space="preserve">index.html:L736</t>
  </si>
  <si>
    <t xml:space="preserve">LMB-192</t>
  </si>
  <si>
    <t xml:space="preserve">_v4ToggleTopDown</t>
  </si>
  <si>
    <t xml:space="preserve">index.html:L880</t>
  </si>
  <si>
    <t xml:space="preserve">js/sanctuary/SanctuaryControls.js:L278</t>
  </si>
  <si>
    <t xml:space="preserve">LMB-193</t>
  </si>
  <si>
    <t xml:space="preserve">_v4WalkTo</t>
  </si>
  <si>
    <t xml:space="preserve">js/sanctuary/SanctuaryClickToMove.js:L283; js/sanctuary/SanctuaryClickToMove.js:L323; index.html:L851</t>
  </si>
  <si>
    <t xml:space="preserve">js/sanctuary/SanctuaryClickToMove.js:L236</t>
  </si>
  <si>
    <t xml:space="preserve">LMB-194</t>
  </si>
  <si>
    <t xml:space="preserve">addPage</t>
  </si>
  <si>
    <t xml:space="preserve">js/components/Component.NewJournal.html:L862; js/components/Component.NewJournal.html:L1299</t>
  </si>
  <si>
    <t xml:space="preserve">js/components/Component.NewJournal.html:L785</t>
  </si>
  <si>
    <t xml:space="preserve">LMB-195</t>
  </si>
  <si>
    <t xml:space="preserve">getPageFontIndex</t>
  </si>
  <si>
    <t xml:space="preserve">js/components/Component.NewJournal.html:L670; js/components/Component.NewJournal.html:L683</t>
  </si>
  <si>
    <t xml:space="preserve">js/components/Component.NewJournal.html:L665</t>
  </si>
  <si>
    <t xml:space="preserve">LMB-196</t>
  </si>
  <si>
    <t xml:space="preserve">initPanelIcons</t>
  </si>
  <si>
    <t xml:space="preserve">SacredGame.Panel.html:L73; SacredGame.Panel.html:L1939</t>
  </si>
  <si>
    <t xml:space="preserve">SacredGame.Panel.html:L1898</t>
  </si>
  <si>
    <t xml:space="preserve">LMB-197</t>
  </si>
  <si>
    <t xml:space="preserve">sanctuaryGrant</t>
  </si>
  <si>
    <t xml:space="preserve">js/sanctuary/SanctuaryFishing.js:L2446</t>
  </si>
  <si>
    <t xml:space="preserve">js/sanctuary/SanctuaryInventory.js:L155</t>
  </si>
  <si>
    <t xml:space="preserve">LMB-198</t>
  </si>
  <si>
    <t xml:space="preserve">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</si>
  <si>
    <t xml:space="preserve">js/sanctuary/SanctuaryCircles.js:L191</t>
  </si>
  <si>
    <t xml:space="preserve">LMB-199</t>
  </si>
  <si>
    <t xml:space="preserve">startGameSequence</t>
  </si>
  <si>
    <t xml:space="preserve">js/components/Component.NewJournal.html:L1022; js/components/Component.NewJournal.html:L1094</t>
  </si>
  <si>
    <t xml:space="preserve">js/components/Component.NewJournal.html:L907</t>
  </si>
  <si>
    <t xml:space="preserve">LMB-200</t>
  </si>
  <si>
    <t xml:space="preserve">switchBookTab</t>
  </si>
  <si>
    <t xml:space="preserve">js/components/Component.NewJournal.html:L799; js/components/Component.NewJournal.html:L869</t>
  </si>
  <si>
    <t xml:space="preserve">js/components/Component.NewJournal.html:L763</t>
  </si>
  <si>
    <t xml:space="preserve">LMB-201</t>
  </si>
  <si>
    <t xml:space="preserve">toggleLogbook</t>
  </si>
  <si>
    <t xml:space="preserve">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</si>
  <si>
    <t xml:space="preserve">SacredGame.Panel.html:L2565; SacredGame.Journal.html:L339</t>
  </si>
  <si>
    <t xml:space="preserve">Evidence line numbers are re-located by regex at every build; 'NOT FOUND' means the code moved</t>
  </si>
  <si>
    <t xml:space="preserve">Finding ID</t>
  </si>
  <si>
    <t xml:space="preserve">Severity</t>
  </si>
  <si>
    <t xml:space="preserve">Finding</t>
  </si>
  <si>
    <t xml:space="preserve">Assumed</t>
  </si>
  <si>
    <t xml:space="preserve">Verified (mechanical)</t>
  </si>
  <si>
    <t xml:space="preserve">Evidence (file:line)</t>
  </si>
  <si>
    <t xml:space="preserve">Impact</t>
  </si>
  <si>
    <t xml:space="preserve">Fix</t>
  </si>
  <si>
    <t xml:space="preserve">Effort</t>
  </si>
  <si>
    <t xml:space="preserve">Plan step</t>
  </si>
  <si>
    <t xml:space="preserve">Status</t>
  </si>
  <si>
    <t xml:space="preserve">Critical</t>
  </si>
  <si>
    <t xml:space="preserve">REG NPC is 1.94M triangles</t>
  </si>
  <si>
    <t xml:space="preserve">Seated NPC, one of three tipi owners; header says desktop loads REG at full detail.</t>
  </si>
  <si>
    <t xml:space="preserve">NPC.REG.glb = 1,942,136 tris, 18 primitives, 54 textures (~294 MB VRAM). ~48% of estimated boot triangles.</t>
  </si>
  <si>
    <t xml:space="preserve">js/sanctuary/SanctuaryTipiNpcs.js:L47 · js/sanctuary/SanctuaryTipiNpcs.js:L255</t>
  </si>
  <si>
    <t xml:space="preserve">Vertex + skinning cost in main and PiP passes; largest single VRAM consumer.</t>
  </si>
  <si>
    <t xml:space="preserve">Swap to NPC.REG.lite.glb (60,410 tris, 66 MB) on desktop and NPC.REG.mobile.glb (31,096 tris, 18 MB) on mobile.</t>
  </si>
  <si>
    <t xml:space="preserve">S</t>
  </si>
  <si>
    <t xml:space="preserve">Fixed in code (PLN-01) — verify in browser</t>
  </si>
  <si>
    <t xml:space="preserve">Tipis use the 246k-triangle model ×3</t>
  </si>
  <si>
    <t xml:space="preserve">Header: loads the same yellow-butterfly tipi as v2; mobile decimation script covers tipis.</t>
  </si>
  <si>
    <t xml:space="preserve">tipi.yellowbutterfly.glb = 245,880 tris, 4096² map; 3 clones at boot = 737,640 tris. Mobile swap set lists 'tipi.yellowbutterfly-compressed.glb', not the URL loaded, so mobile also gets full detail.</t>
  </si>
  <si>
    <t xml:space="preserve">js/sanctuary/SanctuaryTipis.js:L28 · js/v2/gltfLoaderSetup.js:L50</t>
  </si>
  <si>
    <t xml:space="preserve">~18% of boot triangles; mobile memory risk.</t>
  </si>
  <si>
    <t xml:space="preserve">Swap to tipi.yellowbutterfly.lite.glb (40,000 tris, 2048²) and .mobile.glb (14,998 tris, 1024²); add the loaded basename to MOBILE_GLB_VARIANTS.</t>
  </si>
  <si>
    <t xml:space="preserve">PLN-02</t>
  </si>
  <si>
    <t xml:space="preserve">Fixed in code (PLN-02) — verify in browser</t>
  </si>
  <si>
    <t xml:space="preserve">FND-03</t>
  </si>
  <si>
    <t xml:space="preserve">High</t>
  </si>
  <si>
    <t xml:space="preserve">~939 MB of texture VRAM at boot (desktop)</t>
  </si>
  <si>
    <t xml:space="preserve">Mobile cap at 256 px handles memory; desktop has headroom.</t>
  </si>
  <si>
    <t xml:space="preserve">Boot GLB textures sum to ~939 MB uncompressed with mips: REG 294, YB 256 (3×4096² on a 37k-tri NPC), Avatar-New 171, tipi 85, reeds 85 (4096² on a 10k-tri reed).</t>
  </si>
  <si>
    <t xml:space="preserve">js/v2/Orchestrator.js:L150 · js/sanctuary/SanctuaryTipiNpcs.js:L42</t>
  </si>
  <si>
    <t xml:space="preserve">GPU memory pressure; doubled by the PiP second context (FND-04).</t>
  </si>
  <si>
    <t xml:space="preserve">Cap hero textures at 2048, props at 1024, small NPC parts at 512; consider KTX2/Basis.</t>
  </si>
  <si>
    <t xml:space="preserve">M</t>
  </si>
  <si>
    <t xml:space="preserve">PLN-03</t>
  </si>
  <si>
    <t xml:space="preserve">Open</t>
  </si>
  <si>
    <t xml:space="preserve">FND-04</t>
  </si>
  <si>
    <t xml:space="preserve">PiP minimap is a second WebGL context</t>
  </si>
  <si>
    <t xml:space="preserve">PiP is a cheap minimap; throttled by RenderingGovernor stride.</t>
  </si>
  <si>
    <t xml:space="preserve">Desktop creates a 2nd WebGLRenderer with antialias + preserveDrawingBuffer; warm-up uploads every mesh and texture into it with culling off.</t>
  </si>
  <si>
    <t xml:space="preserve">js/v2/Orchestrator.js:L1114 · js/v2/Orchestrator.js:L1123 · js/v2/Orchestrator.js:L1179</t>
  </si>
  <si>
    <t xml:space="preserve">Duplicate GPU memory for all assets; extra full-scene pass; MSAA buffer.</t>
  </si>
  <si>
    <t xml:space="preserve">Render PiP into the main canvas with setViewport + setScissor (one context). Interim: drop antialias and preserveDrawingBuffer.</t>
  </si>
  <si>
    <t xml:space="preserve">L</t>
  </si>
  <si>
    <t xml:space="preserve">PLN-05</t>
  </si>
  <si>
    <t xml:space="preserve">FND-05</t>
  </si>
  <si>
    <t xml:space="preserve">PiP renders every frame in Village View</t>
  </si>
  <si>
    <t xml:space="preserve">RenderingGovernor is the single source of truth for PiP cadence (stride 16).</t>
  </si>
  <si>
    <t xml:space="preserve">The stride gate is skipped when body has v4-top-down-view, so Village View renders the scene twice per frame.</t>
  </si>
  <si>
    <t xml:space="preserve">js/v2/Orchestrator.js:L1406</t>
  </si>
  <si>
    <t xml:space="preserve">Up to ~2× GPU work in the village-building screen.</t>
  </si>
  <si>
    <t xml:space="preserve">Apply the stride (or a dedicated village-view stride) in top-down mode.</t>
  </si>
  <si>
    <t xml:space="preserve">PLN-06</t>
  </si>
  <si>
    <t xml:space="preserve">FND-06</t>
  </si>
  <si>
    <t xml:space="preserve">Medium</t>
  </si>
  <si>
    <t xml:space="preserve">Per-PiP-pass scene traversals and allocations</t>
  </si>
  <si>
    <t xml:space="preserve">PiP prep only toggles fog/background.</t>
  </si>
  <si>
    <t xml:space="preserve">Each PiP pass traverses the whole scene to zero uTime uniforms, allocates and adds an AmbientLight, and (fishing) runs ~40 string tests per object.</t>
  </si>
  <si>
    <t xml:space="preserve">js/v2/Orchestrator.js:L1465 · js/v2/Orchestrator.js:L1540 · js/v2/Orchestrator.js:L1319</t>
  </si>
  <si>
    <t xml:space="preserve">CPU per PiP frame grows with scene size; GC churn.</t>
  </si>
  <si>
    <t xml:space="preserve">One shared time uniform; one cached ambient light toggled via layers; precomputed cull list.</t>
  </si>
  <si>
    <t xml:space="preserve">Partly fixed (cached light + uniform cache); scan kept for non-close-up PiP</t>
  </si>
  <si>
    <t xml:space="preserve">ANU governors time JavaScript, not frames</t>
  </si>
  <si>
    <t xml:space="preserve">FrameBudget samples wall-clock frame duration.</t>
  </si>
  <si>
    <t xml:space="preserve">frameMs = performance.now() at loop start to after render calls: CPU submission only. GPU-bound frames read as OPTIMAL, so DPR and PiP never shed.</t>
  </si>
  <si>
    <t xml:space="preserve">js/v2/Orchestrator.js:L661 · js/v2/Orchestrator.js:L797 · js/v2/anu/FrameBudget.js:L18</t>
  </si>
  <si>
    <t xml:space="preserve">Adaptive quality does not react to the real bottleneck (GPU).</t>
  </si>
  <si>
    <t xml:space="preserve">Feed the controllers the RAF-to-RAF interval (clock delta), optionally EXT_disjoint_timer_query for GPU time.</t>
  </si>
  <si>
    <t xml:space="preserve">Three controllers fight over PiP stride</t>
  </si>
  <si>
    <t xml:space="preserve">RenderingGovernor is the single source of truth.</t>
  </si>
  <si>
    <t xml:space="preserve">AdaptiveRenderPolicy (1.4×/1.1× target), AnuAdaptiveDpr (1.0×, 1.3×) and the Orchestrator CRITICAL bypass (1.6×) all change PiP cadence; shadows use a 4th threshold set (1.25×/1.6×).</t>
  </si>
  <si>
    <t xml:space="preserve">js/v2/anu/AdaptiveRenderPolicy.js:L59 · js/sanctuary/AnuAdaptiveDpr.js:L243 · js/v2/Orchestrator.js:L770</t>
  </si>
  <si>
    <t xml:space="preserve">Oscillation and unpredictable quality; hard to tune.</t>
  </si>
  <si>
    <t xml:space="preserve">One controller owning DPR, PiP stride and shadow cadence with one hysteresis band.</t>
  </si>
  <si>
    <t xml:space="preserve">Scene inventory walk every 120 frames, no live reader</t>
  </si>
  <si>
    <t xml:space="preserve">Inventory feeds ANU's live audit.</t>
  </si>
  <si>
    <t xml:space="preserve">captureSceneRenderInventory traverses the scene, calls getWorldPosition per object, builds and sorts rows every 120 frames. SCENE_INVENTORY_TICK has 0 live subscribers; snapshot is read only by on-demand debug APIs.</t>
  </si>
  <si>
    <t xml:space="preserve">js/v2/anu/SceneModelInventory.js:L11 · js/v2/Orchestrator.js:L821</t>
  </si>
  <si>
    <t xml:space="preserve">Periodic CPU spike (~every 2 s at 60 FPS).</t>
  </si>
  <si>
    <t xml:space="preserve">Compute on demand (when AnuUniverse.report()/journal asks).</t>
  </si>
  <si>
    <t xml:space="preserve">PLN-08</t>
  </si>
  <si>
    <t xml:space="preserve">ANU InteractionBus is write-only in the live game</t>
  </si>
  <si>
    <t xml:space="preserve">ANU sees and coordinates every event via the bus.</t>
  </si>
  <si>
    <t xml:space="preserve">11 live files dispatch; 0 live files subscribe (subscribers exist only in legacy v2 files).</t>
  </si>
  <si>
    <t xml:space="preserve">js/v2/anu/InteractionBus.js:L32 · js/v2/Flora.js:L718</t>
  </si>
  <si>
    <t xml:space="preserve">Coordination happens through window globals instead (FND-11); bus adds cost without effect.</t>
  </si>
  <si>
    <t xml:space="preserve">Either route real coordination through the bus or treat it as debug-only.</t>
  </si>
  <si>
    <t xml:space="preserve">PLN-12</t>
  </si>
  <si>
    <t xml:space="preserve">74 window globals are the real integration layer</t>
  </si>
  <si>
    <t xml:space="preserve">Scorecard dimension 3 rewards 'no silent globals'; RuntimeServices is the service registry.</t>
  </si>
  <si>
    <t xml:space="preserve">Live modules write the window.* names listed in 41_Globals; only 4 runtime services are registered.</t>
  </si>
  <si>
    <t xml:space="preserve">js/v2/Orchestrator.js:L701 · js/v2/RuntimeServices.js:L57</t>
  </si>
  <si>
    <t xml:space="preserve">Hidden coupling; hard to reason about; easy to break silently.</t>
  </si>
  <si>
    <t xml:space="preserve">Promote the top cross-module globals to RuntimeServices with contracts.</t>
  </si>
  <si>
    <t xml:space="preserve">Low</t>
  </si>
  <si>
    <t xml:space="preserve">163 KB of AI memory prose ships to every player</t>
  </si>
  <si>
    <t xml:space="preserve">pipelineMemory is the engine's incident ledger for agents.</t>
  </si>
  <si>
    <t xml:space="preserve">pipelineMemory.js is the largest file in the live import graph (163 KB unminified); 78 modules / ~1.3 MB unminified load without bundling.</t>
  </si>
  <si>
    <t xml:space="preserve">js/v2/anu/pipelineMemory.js:L2</t>
  </si>
  <si>
    <t xml:space="preserve">Download + parse on every boot; no runtime value to the player.</t>
  </si>
  <si>
    <t xml:space="preserve">Move to docs/ or lazy-load from DevTools helpers only.</t>
  </si>
  <si>
    <t xml:space="preserve">PLN-09</t>
  </si>
  <si>
    <t xml:space="preserve">FND-13</t>
  </si>
  <si>
    <t xml:space="preserve">Service worker is a kill switch (no offline play)</t>
  </si>
  <si>
    <t xml:space="preserve">PROGRESS.md: Service Worker v9 caches all shell files; manifesto: offline-first.</t>
  </si>
  <si>
    <t xml:space="preserve">sw.js deletes all caches and unregisters itself.</t>
  </si>
  <si>
    <t xml:space="preserve">sw.js:L2</t>
  </si>
  <si>
    <t xml:space="preserve">~55 MB of GLBs re-downloaded when HTTP cache misses; offline goal unmet.</t>
  </si>
  <si>
    <t xml:space="preserve">Versioned cache-first SW for Assets/ only (hashed filenames), network-first for code.</t>
  </si>
  <si>
    <t xml:space="preserve">PLN-10</t>
  </si>
  <si>
    <t xml:space="preserve">Per-module FPS benchmarks are noise</t>
  </si>
  <si>
    <t xml:space="preserve">Orchestrator benchmarks the FPS cost of every module in isolation.</t>
  </si>
  <si>
    <t xml:space="preserve">All 43 modules activate before start(); benches queue until FPS warm-up, so every bench runs with every module already active.</t>
  </si>
  <si>
    <t xml:space="preserve">index.html:L629 · js/v2/Orchestrator.js:L461</t>
  </si>
  <si>
    <t xml:space="preserve">fpsCost values mislead tuning decisions.</t>
  </si>
  <si>
    <t xml:space="preserve">Remove, or bench by toggling one module off at a time after boot.</t>
  </si>
  <si>
    <t xml:space="preserve">PLN-11</t>
  </si>
  <si>
    <t xml:space="preserve">18 trout at 23,466 triangles each, not instanced</t>
  </si>
  <si>
    <t xml:space="preserve">Header: same trout mesh as v2 Pool2.</t>
  </si>
  <si>
    <t xml:space="preserve">fish.obj = 23,466 tris; 18 separate Meshes = 422,388 tris + 18 draw calls under the water surface.</t>
  </si>
  <si>
    <t xml:space="preserve">js/sanctuary/SanctuaryFish.js:L24 · js/sanctuary/SanctuaryFish.js:L19</t>
  </si>
  <si>
    <t xml:space="preserve">~10% of boot triangles for small, mostly submerged fish.</t>
  </si>
  <si>
    <t xml:space="preserve">Decimate fish to ~1.5k tris and draw as one InstancedMesh.</t>
  </si>
  <si>
    <t xml:space="preserve">PLN-04</t>
  </si>
  <si>
    <t xml:space="preserve">Shadow map re-renders every frame when OPTIMAL</t>
  </si>
  <si>
    <t xml:space="preserve">Shadows sampled under stress.</t>
  </si>
  <si>
    <t xml:space="preserve">shadowMap.autoUpdate = true whenever stress is OPTIMAL; scene casters are mostly static.</t>
  </si>
  <si>
    <t xml:space="preserve">js/v2/Orchestrator.js:L746</t>
  </si>
  <si>
    <t xml:space="preserve">A shadow depth pass every frame (512² key light, 18 instanced trees cast).</t>
  </si>
  <si>
    <t xml:space="preserve">autoUpdate false; needsUpdate when a caster moves or the sun changes; avatar via a blob or contact shadow.</t>
  </si>
  <si>
    <t xml:space="preserve">PLN-13</t>
  </si>
  <si>
    <t xml:space="preserve">Avatar foot-flatten allocates and forces matrix updates every frame</t>
  </si>
  <si>
    <t xml:space="preserve">Cheap per-frame foot fix.</t>
  </si>
  <si>
    <t xml:space="preserve">3 Quaternions + 1 Euler allocated per frame; updateMatrixWorld(true) on foot and its parent.</t>
  </si>
  <si>
    <t xml:space="preserve">js/sanctuary/SanctuaryAvatar.js:L687</t>
  </si>
  <si>
    <t xml:space="preserve">Small GC churn.</t>
  </si>
  <si>
    <t xml:space="preserve">Hoist scratch objects to module scope.</t>
  </si>
  <si>
    <t xml:space="preserve">PLN-14</t>
  </si>
  <si>
    <t xml:space="preserve">FND-18</t>
  </si>
  <si>
    <t xml:space="preserve">Transmission material on the fishing gauge</t>
  </si>
  <si>
    <t xml:space="preserve">Clear plastic look.</t>
  </si>
  <si>
    <t xml:space="preserve">MeshPhysicalMaterial with transmission 0.98 makes three.js render a transmission pass of opaque objects while the gauge is visible.</t>
  </si>
  <si>
    <t xml:space="preserve">js/sanctuary/SanctuaryFishing.js:L365</t>
  </si>
  <si>
    <t xml:space="preserve">Extra pass during fishing.</t>
  </si>
  <si>
    <t xml:space="preserve">Plain transparent MeshStandardMaterial at opacity 0.04 gives the same read.</t>
  </si>
  <si>
    <t xml:space="preserve">Fixed in code — check gauge look in browser</t>
  </si>
  <si>
    <t xml:space="preserve">FND-19</t>
  </si>
  <si>
    <t xml:space="preserve">Docs point at the wrong entry and wrong test commands</t>
  </si>
  <si>
    <t xml:space="preserve">README/CONTRIBUTING: boot index.v2.html; npm test runs smoke + fidelity.</t>
  </si>
  <si>
    <t xml:space="preserve">Live game is index.html; package.json test = check:v2 + check:assets + test:v4 (no test:v2/test:fidelity scripts). WORDPRESS/, dist/, _legacy_archive/, SacredOnes.1/ are not in the repo.</t>
  </si>
  <si>
    <t xml:space="preserve">README.md:L19 · package.json:L9</t>
  </si>
  <si>
    <t xml:space="preserve">Agents edit the wrong build; validation claims are wrong.</t>
  </si>
  <si>
    <t xml:space="preserve">Rewrite README/CONTRIBUTING entry + test sections from 10_System.</t>
  </si>
  <si>
    <t xml:space="preserve">PLN-15</t>
  </si>
  <si>
    <t xml:space="preserve">FND-20</t>
  </si>
  <si>
    <t xml:space="preserve">Mobile detection duplicated in 4 places</t>
  </si>
  <si>
    <t xml:space="preserve">Same UA regex in Orchestrator constructor, Orchestrator._ensurePipPipeline, AnuAdaptiveDpr.load and gltfLoaderSetup.</t>
  </si>
  <si>
    <t xml:space="preserve">js/v2/Orchestrator.js:L106 · js/v2/gltfLoaderSetup.js:L63</t>
  </si>
  <si>
    <t xml:space="preserve">Drift risk between paths.</t>
  </si>
  <si>
    <t xml:space="preserve">One exported isMobileDevice() in RuntimeServices or constants.</t>
  </si>
  <si>
    <t xml:space="preserve">FND-21</t>
  </si>
  <si>
    <t xml:space="preserve">PiP posted a PIP_FRAME bitmap to a frame that never listens</t>
  </si>
  <si>
    <t xml:space="preserve">Panel iframe shows the minimap frame.</t>
  </si>
  <si>
    <t xml:space="preserve">limbo.py: PIP_FRAME had 1 sender (Orchestrator) and 0 receivers across index.html, Panel, Journal, NewJournal, LoadingModal. Panel handles 10 other types only. Raised by Coder 1; verified.</t>
  </si>
  <si>
    <t xml:space="preserve">js/v2/Orchestrator.js:L1443</t>
  </si>
  <si>
    <t xml:space="preserve">createImageBitmap + postMessage on every PiP render; forced preserveDrawingBuffer.</t>
  </si>
  <si>
    <t xml:space="preserve">Removed; preserveDrawingBuffer false.</t>
  </si>
  <si>
    <t xml:space="preserve">Fixed in code</t>
  </si>
  <si>
    <t xml:space="preserve">FND-22</t>
  </si>
  <si>
    <t xml:space="preserve">Fishing PiP ran a full-scene name scan that hid nothing visible</t>
  </si>
  <si>
    <t xml:space="preserve">Scan keeps the fishing PiP focused on the gauge.</t>
  </si>
  <si>
    <t xml:space="preserve">Close-up camera uses layers.set(2); layer-2 objects (pool water, basin, fish, gauge) match none of the hide rules. Raised by Coder 1; verified against every layers.enable(2) site.</t>
  </si>
  <si>
    <t xml:space="preserve">js/v2/Orchestrator.js:L1592 · js/v2/Orchestrator.js:L1290</t>
  </si>
  <si>
    <t xml:space="preserve">~40 string tests per scene object every other frame while fishing.</t>
  </si>
  <si>
    <t xml:space="preserve">Skipped when the bobber exists.</t>
  </si>
  <si>
    <t xml:space="preserve">Journal commands go nowhere in the live game</t>
  </si>
  <si>
    <t xml:space="preserve">index.html L179 comment: the page relays PROCESS_INPUT / RETURN_TO_GAME; journal is the LLM interaction layer.</t>
  </si>
  <si>
    <t xml:space="preserve">PROCESS_INPUT, JOURNAL_START_GAME_INTRO and JOURNAL_GREET_BHG are sent by Component.NewJournal.html and handled only in index.v2.html / legacy EngineMain.js. No live receiver.</t>
  </si>
  <si>
    <t xml:space="preserve">js/components/Component.NewJournal.html:L971 · index.html:L179</t>
  </si>
  <si>
    <t xml:space="preserve">Typed journal commands, START GAME and GREET HER do nothing — the accessibility path in the manifesto is cut.</t>
  </si>
  <si>
    <t xml:space="preserve">Port the handlers into a sanctuary module (JournalBridge).</t>
  </si>
  <si>
    <t xml:space="preserve">GENERATE SCENE silently skips terrain and pool regeneration</t>
  </si>
  <si>
    <t xml:space="preserve">Generate rebuilds terrain and pool.</t>
  </si>
  <si>
    <t xml:space="preserve">window.__regenerateTerrain and window.__regeneratePoolObjects are called behind if-guards but assigned nowhere in live code.</t>
  </si>
  <si>
    <t xml:space="preserve">js/sanctuary/SanctuaryToolPalette.js:L423 · js/sanctuary/SanctuaryToolPalette.js:L443</t>
  </si>
  <si>
    <t xml:space="preserve">Map generation is partial without any error.</t>
  </si>
  <si>
    <t xml:space="preserve">Implement in SanctuaryGround / SanctuaryPool or remove the steps.</t>
  </si>
  <si>
    <t xml:space="preserve">FND-25</t>
  </si>
  <si>
    <t xml:space="preserve">PiP toggle calls a function that does not exist</t>
  </si>
  <si>
    <t xml:space="preserve">Shortcut suspends the PiP second renderer.</t>
  </si>
  <si>
    <t xml:space="preserve">index.html calls window._v4TogglePip behind a typeof guard; nothing assigns it.</t>
  </si>
  <si>
    <t xml:space="preserve">Toggle does nothing.</t>
  </si>
  <si>
    <t xml:space="preserve">Implement on the orchestrator or remove the binding.</t>
  </si>
  <si>
    <t xml:space="preserve">PiP protect rule names a selector that no longer exists</t>
  </si>
  <si>
    <t xml:space="preserve">Rule protects #pipCanvas inside #moondial-wrapper.</t>
  </si>
  <si>
    <t xml:space="preserve">Live element is #v2-pip-canvas inside #pip-compass-wrapper (UIModule). Raised by Coder 1; verified.</t>
  </si>
  <si>
    <t xml:space="preserve">.cursor/rules/sacred-pip-map-protect.mdc:L10 · js/v2/UIModule.js:L218</t>
  </si>
  <si>
    <t xml:space="preserve">Agents may not recognise the live PiP as protected.</t>
  </si>
  <si>
    <t xml:space="preserve">Update the rule's selector text.</t>
  </si>
  <si>
    <t xml:space="preserve">PLN-19</t>
  </si>
  <si>
    <t xml:space="preserve">WorldPhysics service is looked up but only the legacy build registers it</t>
  </si>
  <si>
    <t xml:space="preserve">Shared structure helpers read terrain height from WorldPhysics.</t>
  </si>
  <si>
    <t xml:space="preserve">getRuntimeService('WorldPhysics') in WorldStructures.js; registerRuntimeService('WorldPhysics') only in World.js (index.v2.html). Whether the live game reaches those helper lines is not yet traced.</t>
  </si>
  <si>
    <t xml:space="preserve">js/v2/WorldStructures.js:L822 · js/v2/World.js:L616</t>
  </si>
  <si>
    <t xml:space="preserve">Unknown until the call path is traced.</t>
  </si>
  <si>
    <t xml:space="preserve">Trace callers; register a sanctuary WorldPhysics shim if reached.</t>
  </si>
  <si>
    <t xml:space="preserve">FND-28</t>
  </si>
  <si>
    <t xml:space="preserve">Fishing pins the DPR floor at 1.5</t>
  </si>
  <si>
    <t xml:space="preserve">Keeps the fishing close-up crisp.</t>
  </si>
  <si>
    <t xml:space="preserve">setMinDpr(1.5) on entering fishing; desktop DPR cap is 1.5, so fishing can never shed resolution.</t>
  </si>
  <si>
    <t xml:space="preserve">js/sanctuary/SanctuaryFishing.js:L1354</t>
  </si>
  <si>
    <t xml:space="preserve">Full fill-rate cost for the whole fishing session.</t>
  </si>
  <si>
    <t xml:space="preserve">Decide: floor 1.25, or keep for crispness.</t>
  </si>
  <si>
    <t xml:space="preserve">PLN-16</t>
  </si>
  <si>
    <t xml:space="preserve">FND-29</t>
  </si>
  <si>
    <t xml:space="preserve">Avatar is 246k skinned triangles with 2×4096² maps and casts a shadow</t>
  </si>
  <si>
    <t xml:space="preserve">gltfLoaderSetup comment: Avatar-New is already low-poly.</t>
  </si>
  <si>
    <t xml:space="preserve">Avatar-New.glb = 245,991 tris, 170.6 MB texture VRAM; castShadow true, so it is drawn in the shadow pass too.</t>
  </si>
  <si>
    <t xml:space="preserve">js/sanctuary/SanctuaryAvatar.js:L49 · js/sanctuary/SanctuaryAvatar.js:L122</t>
  </si>
  <si>
    <t xml:space="preserve">Largest remaining skinned mesh; three passes (main, shadow, Village View PiP).</t>
  </si>
  <si>
    <t xml:space="preserve">Lite avatar (~40k tris, 2048 px) built and verified like REG.</t>
  </si>
  <si>
    <t xml:space="preserve">PLN-20</t>
  </si>
  <si>
    <t xml:space="preserve">Comments say the gauge left layer 2; code still puts it there</t>
  </si>
  <si>
    <t xml:space="preserve">SanctuaryFish / SanctuaryPool comments: gauge removed from layer 2.</t>
  </si>
  <si>
    <t xml:space="preserve">_build3DGauge enables layer 2 on every gauge child.</t>
  </si>
  <si>
    <t xml:space="preserve">js/sanctuary/SanctuaryFishing.js:L434 · js/sanctuary/SanctuaryPool.js:L283</t>
  </si>
  <si>
    <t xml:space="preserve">Misleads anyone tuning the fish-finder view.</t>
  </si>
  <si>
    <t xml:space="preserve">Correct the comments (or remove the gauge from layer 2 if that was the intent).</t>
  </si>
  <si>
    <t xml:space="preserve">FND-31</t>
  </si>
  <si>
    <t xml:space="preserve">Old PiP uniform stash could leave shared clocks at zero</t>
  </si>
  <si>
    <t xml:space="preserve">Stash/restore leaves time uniforms as they were.</t>
  </si>
  <si>
    <t xml:space="preserve">A uniform reached twice (global clock + material reference) was pushed twice; restore wrote the real value then 0.</t>
  </si>
  <si>
    <t xml:space="preserve">js/v2/Orchestrator.js:L1537</t>
  </si>
  <si>
    <t xml:space="preserve">Shared clock read 0 until its owner's next update.</t>
  </si>
  <si>
    <t xml:space="preserve">De-duplicated in _getPipTimeUniforms.</t>
  </si>
  <si>
    <t xml:space="preserve">Assets</t>
  </si>
  <si>
    <t xml:space="preserve">Measured with glbjson.mjs (gltf-transform + Draco decode); VRAM = w×h×4×1.333 per context</t>
  </si>
  <si>
    <t xml:space="preserve">Asset ID</t>
  </si>
  <si>
    <t xml:space="preserve">Path</t>
  </si>
  <si>
    <t xml:space="preserve">Loaded at boot</t>
  </si>
  <si>
    <t xml:space="preserve">Triangles (measured)</t>
  </si>
  <si>
    <t xml:space="preserve">Instances at boot (desktop)</t>
  </si>
  <si>
    <t xml:space="preserve">Boot triangles (desktop)</t>
  </si>
  <si>
    <t xml:space="preserve">Instances at boot (mobile)</t>
  </si>
  <si>
    <t xml:space="preserve">Largest texture (px)</t>
  </si>
  <si>
    <t xml:space="preserve">Textures</t>
  </si>
  <si>
    <t xml:space="preserve">Texture VRAM est. (MB)</t>
  </si>
  <si>
    <t xml:space="preserve">File (MB)</t>
  </si>
  <si>
    <t xml:space="preserve">Skinned</t>
  </si>
  <si>
    <t xml:space="preserve">Animations</t>
  </si>
  <si>
    <t xml:space="preserve">Referenced by (MOD IDs)</t>
  </si>
  <si>
    <t xml:space="preserve">Instance evidence</t>
  </si>
  <si>
    <t xml:space="preserve">Replaced asset (before)</t>
  </si>
  <si>
    <t xml:space="preserve">Replaced triangles</t>
  </si>
  <si>
    <t xml:space="preserve">Replaced boot triangles</t>
  </si>
  <si>
    <t xml:space="preserve">Replaced VRAM (MB)</t>
  </si>
  <si>
    <t xml:space="preserve">Mobile variant (loader swap)</t>
  </si>
  <si>
    <t xml:space="preserve">Mobile triangles</t>
  </si>
  <si>
    <t xml:space="preserve">Mobile VRAM (MB)</t>
  </si>
  <si>
    <t xml:space="preserve">AST-01</t>
  </si>
  <si>
    <t xml:space="preserve">No</t>
  </si>
  <si>
    <t xml:space="preserve">MOD-011, MOD-070, MOD-102</t>
  </si>
  <si>
    <t xml:space="preserve">js/sanctuary/SanctuaryAvatar.js:L50</t>
  </si>
  <si>
    <t xml:space="preserve">AST-02</t>
  </si>
  <si>
    <t xml:space="preserve">MOD-075, MOD-102</t>
  </si>
  <si>
    <t xml:space="preserve">No load call found from an Active module (URL constant only).</t>
  </si>
  <si>
    <t xml:space="preserve">AST-03</t>
  </si>
  <si>
    <t xml:space="preserve">MOD-011, MOD-070</t>
  </si>
  <si>
    <t xml:space="preserve">js/sanctuary/SanctuaryAvatar.js:L49</t>
  </si>
  <si>
    <t xml:space="preserve">AST-04</t>
  </si>
  <si>
    <t xml:space="preserve">MOD-068, MOD-082, MOD-102</t>
  </si>
  <si>
    <t xml:space="preserve">Replaced at boot by Assets/Tipi.yellowbutterfly/tipi.yellowbutterfly.lite.glb (PLN-02); URL constant may remain in legacy helpers.</t>
  </si>
  <si>
    <t xml:space="preserve">AST-05</t>
  </si>
  <si>
    <t xml:space="preserve">AST-06</t>
  </si>
  <si>
    <t xml:space="preserve">MOD-074, MOD-102</t>
  </si>
  <si>
    <t xml:space="preserve">AST-07</t>
  </si>
  <si>
    <t xml:space="preserve">MOD-038, MOD-082, MOD-102</t>
  </si>
  <si>
    <t xml:space="preserve">js/sanctuary/SanctuaryTipiNpcs.js:L43</t>
  </si>
  <si>
    <t xml:space="preserve">AST-08</t>
  </si>
  <si>
    <t xml:space="preserve">js/sanctuary/SanctuaryTipiNpcs.js:L47</t>
  </si>
  <si>
    <t xml:space="preserve">Assets/NPC.REG.glb</t>
  </si>
  <si>
    <t xml:space="preserve">Assets/NPC.REG.lite.mobile.glb</t>
  </si>
  <si>
    <t xml:space="preserve">AST-09</t>
  </si>
  <si>
    <t xml:space="preserve">js/sanctuary/SanctuaryTipis.js:L260</t>
  </si>
  <si>
    <t xml:space="preserve">Assets/Tipi.yellowbutterfly/tipi.yellowbutterfly.lite.mobile.glb</t>
  </si>
  <si>
    <t xml:space="preserve">AST-10</t>
  </si>
  <si>
    <t xml:space="preserve">MOD-038, MOD-082, MOD-102, MOD-103</t>
  </si>
  <si>
    <t xml:space="preserve">js/sanctuary/SanctuaryTipiNpcs.js:L42</t>
  </si>
  <si>
    <t xml:space="preserve">AST-11</t>
  </si>
  <si>
    <t xml:space="preserve">MOD-034, MOD-050, MOD-055, MOD-102, MOD-103</t>
  </si>
  <si>
    <t xml:space="preserve">js/sanctuary/SanctuaryPondTrees.js:L50</t>
  </si>
  <si>
    <t xml:space="preserve">AST-12</t>
  </si>
  <si>
    <t xml:space="preserve">MOD-034, MOD-102</t>
  </si>
  <si>
    <t xml:space="preserve">js/sanctuary/SanctuaryPondTrees.js:L46</t>
  </si>
  <si>
    <t xml:space="preserve">AST-13</t>
  </si>
  <si>
    <t xml:space="preserve">MOD-054, MOD-102</t>
  </si>
  <si>
    <t xml:space="preserve">AST-14</t>
  </si>
  <si>
    <t xml:space="preserve">AST-15</t>
  </si>
  <si>
    <t xml:space="preserve">js/sanctuary/SanctuaryPondTrees.js:L51</t>
  </si>
  <si>
    <t xml:space="preserve">AST-16</t>
  </si>
  <si>
    <t xml:space="preserve">Assets/Fish/fish.obj</t>
  </si>
  <si>
    <t xml:space="preserve">js/sanctuary/SanctuaryFish.js:L24</t>
  </si>
  <si>
    <t xml:space="preserve">Boot totals (desktop, default map; procedural geometry excluded)</t>
  </si>
  <si>
    <t xml:space="preserve">Boot triangles BEFORE PLN-01 + PLN-02 (original REG + tipi)</t>
  </si>
  <si>
    <t xml:space="preserve">Texture VRAM BEFORE PLN-01 + PLN-02 (MB)</t>
  </si>
  <si>
    <t xml:space="preserve">Claims vs verified</t>
  </si>
  <si>
    <t xml:space="preserve">Zero-trust ledger — Stale/Contradicted rows must not be relied on</t>
  </si>
  <si>
    <t xml:space="preserve">Claim ID</t>
  </si>
  <si>
    <t xml:space="preserve">Source</t>
  </si>
  <si>
    <t xml:space="preserve">Claim (assumed)</t>
  </si>
  <si>
    <t xml:space="preserve">Mechanical verification</t>
  </si>
  <si>
    <t xml:space="preserve">CLM-01</t>
  </si>
  <si>
    <t xml:space="preserve">README.md</t>
  </si>
  <si>
    <t xml:space="preserve">index.v2.html is the only HTML you should boot; js/v2 is canonical.</t>
  </si>
  <si>
    <t xml:space="preserve">Live game = index.html with 43 modules (36 from js/sanctuary). index.v2.html is the older v2 build linked from launch.html.</t>
  </si>
  <si>
    <t xml:space="preserve">Stale</t>
  </si>
  <si>
    <t xml:space="preserve">README.md:L47</t>
  </si>
  <si>
    <t xml:space="preserve">CLM-02</t>
  </si>
  <si>
    <t xml:space="preserve">npm test runs check:v2, check:assets, test:v2 smoke, test:fidelity.</t>
  </si>
  <si>
    <t xml:space="preserve">package.json test = check:v2 &amp;&amp; check:assets &amp;&amp; test:v4. No test:v2 or test:fidelity script exists.</t>
  </si>
  <si>
    <t xml:space="preserve">package.json:L9</t>
  </si>
  <si>
    <t xml:space="preserve">CLM-03</t>
  </si>
  <si>
    <t xml:space="preserve">PROGRESS.md</t>
  </si>
  <si>
    <t xml:space="preserve">Service Worker v9 caches all shell files.</t>
  </si>
  <si>
    <t xml:space="preserve">sw.js is a self-destruct kill switch; nothing is cached.</t>
  </si>
  <si>
    <t xml:space="preserve">PROGRESS.md:L21</t>
  </si>
  <si>
    <t xml:space="preserve">CLM-04</t>
  </si>
  <si>
    <t xml:space="preserve">SanctuaryAvatar.js header</t>
  </si>
  <si>
    <t xml:space="preserve">Loads Assets/Avatar3.glb (decimated to ~205k).</t>
  </si>
  <si>
    <t xml:space="preserve">Default URL is Assets/npc/Avatar-New.glb (245,991 tris). Avatar3.glb (1,956,236 tris) loads only with ?avatar=old.</t>
  </si>
  <si>
    <t xml:space="preserve">CLM-05</t>
  </si>
  <si>
    <t xml:space="preserve">RenderingGovernor.js header</t>
  </si>
  <si>
    <t xml:space="preserve">Single source of truth for multi-pass WebGL / PiP cadence.</t>
  </si>
  <si>
    <t xml:space="preserve">Three controllers change PiP stride; Village View bypasses the stride entirely.</t>
  </si>
  <si>
    <t xml:space="preserve">Contradicted</t>
  </si>
  <si>
    <t xml:space="preserve">CLM-06</t>
  </si>
  <si>
    <t xml:space="preserve">FrameBudget.js header</t>
  </si>
  <si>
    <t xml:space="preserve">Wall-clock frame duration sampling.</t>
  </si>
  <si>
    <t xml:space="preserve">Receives JS time from loop start to after render submission; excludes GPU and idle time.</t>
  </si>
  <si>
    <t xml:space="preserve">js/v2/Orchestrator.js:L797</t>
  </si>
  <si>
    <t xml:space="preserve">CLM-07</t>
  </si>
  <si>
    <t xml:space="preserve">docs/SCORECARD.md dim 3</t>
  </si>
  <si>
    <t xml:space="preserve">No silent globals.</t>
  </si>
  <si>
    <t xml:space="preserve">Live modules write many window.* globals (see 41_Globals).</t>
  </si>
  <si>
    <t xml:space="preserve">docs/SCORECARD.md:L32</t>
  </si>
  <si>
    <t xml:space="preserve">CLM-08</t>
  </si>
  <si>
    <t xml:space="preserve">Orchestrator.js header</t>
  </si>
  <si>
    <t xml:space="preserve">Benchmark FPS cost of every module in isolation.</t>
  </si>
  <si>
    <t xml:space="preserve">Benches run after all modules are active; values are not isolated.</t>
  </si>
  <si>
    <t xml:space="preserve">js/v2/Orchestrator.js:L8</t>
  </si>
  <si>
    <t xml:space="preserve">CLM-09</t>
  </si>
  <si>
    <t xml:space="preserve">scripts/decimate-mobile-assets.mjs</t>
  </si>
  <si>
    <t xml:space="preserve">Mobile variants cover the tipi.</t>
  </si>
  <si>
    <t xml:space="preserve">Covers tipi.yellowbutterfly-compressed.glb; live code loads tipi.yellowbutterfly.glb, so no mobile swap happens.</t>
  </si>
  <si>
    <t xml:space="preserve">js/sanctuary/SanctuaryTipis.js:L28</t>
  </si>
  <si>
    <t xml:space="preserve">CLM-10</t>
  </si>
  <si>
    <t xml:space="preserve">SanctuaryTipiNpcs.js (before PLN-01)</t>
  </si>
  <si>
    <t xml:space="preserve">REG is ~1.9M triangles and is skipped on mobile.</t>
  </si>
  <si>
    <t xml:space="preserve">Measured 1,942,136 tris. Superseded: lite model now loads on every device.</t>
  </si>
  <si>
    <t xml:space="preserve">Verified, then changed</t>
  </si>
  <si>
    <t xml:space="preserve">js/sanctuary/SanctuaryTipiNpcs.js:L255</t>
  </si>
  <si>
    <t xml:space="preserve">CLM-11</t>
  </si>
  <si>
    <t xml:space="preserve">Orchestrator.js constructor</t>
  </si>
  <si>
    <t xml:space="preserve">Mobile: shadows off, DPR 1.0, texture cap 256 px.</t>
  </si>
  <si>
    <t xml:space="preserve">Present in code (not runtime-tested here).</t>
  </si>
  <si>
    <t xml:space="preserve">Verified (static)</t>
  </si>
  <si>
    <t xml:space="preserve">js/v2/Orchestrator.js:L140</t>
  </si>
  <si>
    <t xml:space="preserve">CLM-12</t>
  </si>
  <si>
    <t xml:space="preserve">docs/legacy-reconciliation.md</t>
  </si>
  <si>
    <t xml:space="preserve">WORDPRESS/, dist/, _legacy_archive/, SacredOnes.1/ trees exist and are frozen.</t>
  </si>
  <si>
    <t xml:space="preserve">None of those directories are in the repository.</t>
  </si>
  <si>
    <t xml:space="preserve">docs/legacy-reconciliation.md:L21</t>
  </si>
  <si>
    <t xml:space="preserve">CLM-13</t>
  </si>
  <si>
    <t xml:space="preserve">Manifesto / index.html meta</t>
  </si>
  <si>
    <t xml:space="preserve">WCAG 2.2 AAA compliance.</t>
  </si>
  <si>
    <t xml:space="preserve">Not verified — no audit run in this session.</t>
  </si>
  <si>
    <t xml:space="preserve">Unverified</t>
  </si>
  <si>
    <t xml:space="preserve">SACRED_ADVENTURES_MANIFESTO.md:L16</t>
  </si>
  <si>
    <t xml:space="preserve">CLM-14</t>
  </si>
  <si>
    <t xml:space="preserve">Orchestrator FISHING_SUSPEND comment</t>
  </si>
  <si>
    <t xml:space="preserve">Skipping non-pond modules saves 3–6 ms/frame.</t>
  </si>
  <si>
    <t xml:space="preserve">Not measured (no browser runtime here).</t>
  </si>
  <si>
    <t xml:space="preserve">js/v2/Orchestrator.js:L704</t>
  </si>
  <si>
    <t xml:space="preserve">CLM-16</t>
  </si>
  <si>
    <t xml:space="preserve">Coder 1 report</t>
  </si>
  <si>
    <t xml:space="preserve">Nothing in the repo listens for PIP_FRAME.</t>
  </si>
  <si>
    <t xml:space="preserve">limbo.py over all live frames: 0 receivers. Panel handler lists 10 other types.</t>
  </si>
  <si>
    <t xml:space="preserve">Verified</t>
  </si>
  <si>
    <t xml:space="preserve">CLM-17</t>
  </si>
  <si>
    <t xml:space="preserve">The fishing PiP scan hides nothing that would be drawn.</t>
  </si>
  <si>
    <t xml:space="preserve">Close-up camera is layer 2 only; every layer-2 object checked against the hide rules.</t>
  </si>
  <si>
    <t xml:space="preserve">js/v2/Orchestrator.js:L1592</t>
  </si>
  <si>
    <t xml:space="preserve">CLM-18</t>
  </si>
  <si>
    <t xml:space="preserve">The frame timer stops right after render() is issued.</t>
  </si>
  <si>
    <t xml:space="preserve">frameMs measured after render submission; GPU time excluded.</t>
  </si>
  <si>
    <t xml:space="preserve">CLM-19</t>
  </si>
  <si>
    <t xml:space="preserve">Two shared time uniforms already exist.</t>
  </si>
  <si>
    <t xml:space="preserve">window._globalTime and window.__sanctuaryFloraTimeUniform are stashed separately.</t>
  </si>
  <si>
    <t xml:space="preserve">js/v2/Orchestrator.js:L1486</t>
  </si>
  <si>
    <t xml:space="preserve">CLM-20</t>
  </si>
  <si>
    <t xml:space="preserve">Protect-rule selector is out of date.</t>
  </si>
  <si>
    <t xml:space="preserve">Rule: #pipCanvas in #moondial-wrapper; live: #v2-pip-canvas in #pip-compass-wrapper.</t>
  </si>
  <si>
    <t xml:space="preserve">.cursor/rules/sacred-pip-map-protect.mdc:L10</t>
  </si>
  <si>
    <t xml:space="preserve">CLM-21</t>
  </si>
  <si>
    <t xml:space="preserve">index.html comment</t>
  </si>
  <si>
    <t xml:space="preserve">This page relays PROCESS_INPUT / RETURN_TO_GAME.</t>
  </si>
  <si>
    <t xml:space="preserve">No handler for PROCESS_INPUT in index.html; only the comment mentions it.</t>
  </si>
  <si>
    <t xml:space="preserve">index.html:L179</t>
  </si>
  <si>
    <t xml:space="preserve">CLM-22</t>
  </si>
  <si>
    <t xml:space="preserve">SanctuaryFish / SanctuaryPool comments</t>
  </si>
  <si>
    <t xml:space="preserve">Gauge removed from layer 2.</t>
  </si>
  <si>
    <t xml:space="preserve">_build3DGauge enables layer 2 on every child.</t>
  </si>
  <si>
    <t xml:space="preserve">js/sanctuary/SanctuaryFishing.js:L434</t>
  </si>
  <si>
    <t xml:space="preserve">CLM-23</t>
  </si>
  <si>
    <t xml:space="preserve">gltfLoaderSetup.js comment (before edit)</t>
  </si>
  <si>
    <t xml:space="preserve">Avatar-New is already low-poly.</t>
  </si>
  <si>
    <t xml:space="preserve">245,991 tris, 2×4096² maps.</t>
  </si>
  <si>
    <t xml:space="preserve">CLM-15</t>
  </si>
  <si>
    <t xml:space="preserve">Project description</t>
  </si>
  <si>
    <t xml:space="preserve">Village builder + hunting + fishing + crafting simulator.</t>
  </si>
  <si>
    <t xml:space="preserve">Fishing and village shaping exist; hunting and crafting have no code in the live build.</t>
  </si>
  <si>
    <t xml:space="preserve">Partly true</t>
  </si>
  <si>
    <t xml:space="preserve">js/sanctuary/SanctuaryInventory.js:L12</t>
  </si>
  <si>
    <t xml:space="preserve">Plan</t>
  </si>
  <si>
    <t xml:space="preserve">Status is a dropdown — update it as work lands</t>
  </si>
  <si>
    <t xml:space="preserve">Plan ID</t>
  </si>
  <si>
    <t xml:space="preserve">Files to change</t>
  </si>
  <si>
    <t xml:space="preserve">Acceptance test</t>
  </si>
  <si>
    <t xml:space="preserve">Notes</t>
  </si>
  <si>
    <t xml:space="preserve">Swap REG to the lite/mobile models</t>
  </si>
  <si>
    <t xml:space="preserve">js/sanctuary/SanctuaryTipiNpcs.js (REG_URL, mobile skip); js/v2/gltfLoaderSetup.js (MOBILE_GLB_VARIANTS); Assets/NPC.REG.lite.glb + .mobile.glb</t>
  </si>
  <si>
    <t xml:space="preserve">renderer.info.render.triangles drops by ≥1.8M on desktop; REG sits and animates (6 clips); REG appears on mobile.</t>
  </si>
  <si>
    <t xml:space="preserve">Done (code) — verify in browser</t>
  </si>
  <si>
    <t xml:space="preserve">Approved by user ('lets use those'). REG_URL → lite; mobile skip removed; loader swap set updated; mobile URL rewrite traced.</t>
  </si>
  <si>
    <t xml:space="preserve">Swap tipis to the lite/mobile models</t>
  </si>
  <si>
    <t xml:space="preserve">js/sanctuary/SanctuaryTipis.js (TIPI_GLB_URL); js/v2/gltfLoaderSetup.js (MOBILE_GLB_VARIANTS); Assets/Tipi.yellowbutterfly/*.lite/.mobile.glb</t>
  </si>
  <si>
    <t xml:space="preserve">Triangles drop by ~618k; tipi scale/placement unchanged (target height logic reads bbox).</t>
  </si>
  <si>
    <t xml:space="preserve">TIPI_GLB_URL → lite; mobile swap traced to an existing file. Tipis 1–3 strip the texture by design.</t>
  </si>
  <si>
    <t xml:space="preserve">Texture downsize pass</t>
  </si>
  <si>
    <t xml:space="preserve">Assets: NPC.YB.glb, npc/Avatar-New.glb, flora/reeds.glb, pond-side rocks; scripts/ (reuse lite.mjs)</t>
  </si>
  <si>
    <t xml:space="preserve">Boot texture VRAM &lt; 250 MB desktop (measured with glbjson.mjs).</t>
  </si>
  <si>
    <t xml:space="preserve">Not started</t>
  </si>
  <si>
    <t xml:space="preserve">Decimate + instance the trout</t>
  </si>
  <si>
    <t xml:space="preserve">Assets/Fish/fish.obj (new low-poly); js/sanctuary/SanctuaryFish.js</t>
  </si>
  <si>
    <t xml:space="preserve">Fish triangles &lt; 40k total; one draw call for 18 trout.</t>
  </si>
  <si>
    <t xml:space="preserve">PiP on one WebGL context</t>
  </si>
  <si>
    <t xml:space="preserve">js/v2/Orchestrator.js (_ensurePipPipeline, _renderWithMask, _renderPip); index.html PiP DOM</t>
  </si>
  <si>
    <t xml:space="preserve">One WebGL context in chrome://gpu / document canvases; minimap identical; PiP invariant rule respected.</t>
  </si>
  <si>
    <t xml:space="preserve">Awaiting approval</t>
  </si>
  <si>
    <t xml:space="preserve">Touches the protected PiP — needs explicit user approval (sacred-pip-map-protect).</t>
  </si>
  <si>
    <t xml:space="preserve">PiP quick wins</t>
  </si>
  <si>
    <t xml:space="preserve">FND-05, FND-06</t>
  </si>
  <si>
    <t xml:space="preserve">js/v2/Orchestrator.js (_renderPip stride gate, _preparePipScene, _stashAnuCullablesForPipRender, renderer options)</t>
  </si>
  <si>
    <t xml:space="preserve">PiP renders ≤ every 4th frame in Village View; no per-pass traverse; no AmbientLight allocation.</t>
  </si>
  <si>
    <t xml:space="preserve">In progress</t>
  </si>
  <si>
    <t xml:space="preserve">Done: PIP_FRAME removed, preserveDrawingBuffer false, fishing scan skip, cached light, uniform cache (user asked to super-cull the PiP). Open: Village View stride.</t>
  </si>
  <si>
    <t xml:space="preserve">One frame-clock controller</t>
  </si>
  <si>
    <t xml:space="preserve">js/v2/Orchestrator.js (_loop); js/v2/anu/FrameBudget.js; AdaptiveRenderPolicy.js; js/sanctuary/AnuAdaptiveDpr.js</t>
  </si>
  <si>
    <t xml:space="preserve">Under an artificial GPU load, DPR steps down within 2 s; no stride oscillation.</t>
  </si>
  <si>
    <t xml:space="preserve">Scene inventory on demand</t>
  </si>
  <si>
    <t xml:space="preserve">js/v2/Orchestrator.js; js/v2/anu/SceneModelInventory.js</t>
  </si>
  <si>
    <t xml:space="preserve">No 120-frame periodic task in a Performance trace; AnuUniverse.report() still returns inventory.</t>
  </si>
  <si>
    <t xml:space="preserve">Move pipelineMemory out of the runtime bundle</t>
  </si>
  <si>
    <t xml:space="preserve">js/v2/anu/pipelineMemory.js; js/v2/AnuModule.js</t>
  </si>
  <si>
    <t xml:space="preserve">Live import graph &lt; 1.2 MB; AnuUniverse memory helpers still work in DevTools.</t>
  </si>
  <si>
    <t xml:space="preserve">Asset-only caching service worker</t>
  </si>
  <si>
    <t xml:space="preserve">sw.js; index.html registration</t>
  </si>
  <si>
    <t xml:space="preserve">Second visit loads GLBs from cache; code still network-first.</t>
  </si>
  <si>
    <t xml:space="preserve">User previously directed NO caching — confirm before changing.</t>
  </si>
  <si>
    <t xml:space="preserve">Fix or remove module benchmarks</t>
  </si>
  <si>
    <t xml:space="preserve">js/v2/Orchestrator.js (bench methods)</t>
  </si>
  <si>
    <t xml:space="preserve">No misleading fpsCost in report().</t>
  </si>
  <si>
    <t xml:space="preserve">Decide the bus/global contract</t>
  </si>
  <si>
    <t xml:space="preserve">FND-10, FND-11</t>
  </si>
  <si>
    <t xml:space="preserve">js/v2/RuntimeServices.js; top globals in 41_Globals</t>
  </si>
  <si>
    <t xml:space="preserve">Top 10 cross-module globals have a registered service or a documented owner.</t>
  </si>
  <si>
    <t xml:space="preserve">Static shadow map</t>
  </si>
  <si>
    <t xml:space="preserve">js/v2/Orchestrator.js (stress → shadow block); js/sanctuary/SanctuaryGround.js (key light)</t>
  </si>
  <si>
    <t xml:space="preserve">Shadow pass only on change; visuals unchanged.</t>
  </si>
  <si>
    <t xml:space="preserve">Small hot-loop cleanups</t>
  </si>
  <si>
    <t xml:space="preserve">FND-17, FND-18, FND-20</t>
  </si>
  <si>
    <t xml:space="preserve">js/sanctuary/SanctuaryAvatar.js; SanctuaryFishing.js; mobile detection sites</t>
  </si>
  <si>
    <t xml:space="preserve">No per-frame allocations in Avatar update; no transmission pass.</t>
  </si>
  <si>
    <t xml:space="preserve">Done: gauge transmission → standard transparent (FND-18).</t>
  </si>
  <si>
    <t xml:space="preserve">Fishing render cost</t>
  </si>
  <si>
    <t xml:space="preserve">FND-18, FND-22, FND-28, FND-15</t>
  </si>
  <si>
    <t xml:space="preserve">js/sanctuary/SanctuaryFishing.js; js/v2/Orchestrator.js; js/sanctuary/SanctuaryFish.js</t>
  </si>
  <si>
    <t xml:space="preserve">Fishing frame interval ≥ 30% shorter than baseline in a Performance trace; tipis/trees/NPCs stay visible (ATT-04).</t>
  </si>
  <si>
    <t xml:space="preserve">Done: transmission pass removed, PiP scan skip. Open: DPR floor decision, trout decimation (PLN-04).</t>
  </si>
  <si>
    <t xml:space="preserve">Restore journal command routing</t>
  </si>
  <si>
    <t xml:space="preserve">js/sanctuary/SanctuaryJournalBridge.js; index.html</t>
  </si>
  <si>
    <t xml:space="preserve">Typing a command in the journal triggers its game event; START GAME and GREET HER work.</t>
  </si>
  <si>
    <t xml:space="preserve">Port from index.v2.html handlers — read them first.</t>
  </si>
  <si>
    <t xml:space="preserve">Fix limbo UI calls</t>
  </si>
  <si>
    <t xml:space="preserve">FND-24, FND-25, FND-27</t>
  </si>
  <si>
    <t xml:space="preserve">js/sanctuary/SanctuaryToolPalette.js; index.html; js/v2/WorldStructures.js</t>
  </si>
  <si>
    <t xml:space="preserve">limbo.py shows no LIMBO for these names.</t>
  </si>
  <si>
    <t xml:space="preserve">Update PiP protect rule selector</t>
  </si>
  <si>
    <t xml:space="preserve">.cursor/rules/sacred-pip-map-protect.mdc</t>
  </si>
  <si>
    <t xml:space="preserve">Rule names #v2-pip-canvas / #pip-compass-wrapper.</t>
  </si>
  <si>
    <t xml:space="preserve">Lite avatar</t>
  </si>
  <si>
    <t xml:space="preserve">Assets/npc/Avatar-New.glb → lite; js/sanctuary/SanctuaryAvatar.js</t>
  </si>
  <si>
    <t xml:space="preserve">Avatar ≤ 50k tris, 9 clips intact, skincheck + raster preview pass.</t>
  </si>
  <si>
    <t xml:space="preserve">Same pipeline as PLN-01.</t>
  </si>
  <si>
    <t xml:space="preserve">Correct README / CONTRIBUTING</t>
  </si>
  <si>
    <t xml:space="preserve">README.md; CONTRIBUTING.md; PROGRESS.md</t>
  </si>
  <si>
    <t xml:space="preserve">Docs match 10_System facts.</t>
  </si>
  <si>
    <t xml:space="preserve">Decision log</t>
  </si>
  <si>
    <t xml:space="preserve">How decisions were made in this work</t>
  </si>
  <si>
    <t xml:space="preserve">Decision ID</t>
  </si>
  <si>
    <t xml:space="preserve">Decision</t>
  </si>
  <si>
    <t xml:space="preserve">Reason</t>
  </si>
  <si>
    <t xml:space="preserve">How verified</t>
  </si>
  <si>
    <t xml:space="preserve">Related</t>
  </si>
  <si>
    <t xml:space="preserve">DEC-01</t>
  </si>
  <si>
    <t xml:space="preserve">Treat index.html as the live entry, not index.v2.html</t>
  </si>
  <si>
    <t xml:space="preserve">GitHub Pages serves index.html; it imports js/sanctuary; README says otherwise.</t>
  </si>
  <si>
    <t xml:space="preserve">Import-graph walk from both entry pages (extract.py).</t>
  </si>
  <si>
    <t xml:space="preserve">DEC-02</t>
  </si>
  <si>
    <t xml:space="preserve">Classify file status by import reachability, never by comments</t>
  </si>
  <si>
    <t xml:space="preserve">Zero-trust instruction; comments drift.</t>
  </si>
  <si>
    <t xml:space="preserve">extract.py reachability from index.html and index.v2.html.</t>
  </si>
  <si>
    <t xml:space="preserve">DEC-03</t>
  </si>
  <si>
    <t xml:space="preserve">Estimate boot triangles from measured GLB tris × instance counts in code</t>
  </si>
  <si>
    <t xml:space="preserve">No browser available (Playwright Chromium download blocked by the network allowlist).</t>
  </si>
  <si>
    <t xml:space="preserve">glbjson.mjs + instance constants (TREE_COUNT, BUSH_COUNT, REED_PATCHES, FISH_COUNT, tipi clones).</t>
  </si>
  <si>
    <t xml:space="preserve">DEC-04</t>
  </si>
  <si>
    <t xml:space="preserve">REG targets: 60k tris / 512 px desktop, 31k / 256 px mobile</t>
  </si>
  <si>
    <t xml:space="preserve">Seated ~1 m NPC; YB is 37k tris; 54 maps across 18 materials dominate VRAM.</t>
  </si>
  <si>
    <t xml:space="preserve">skincheck.mjs (41 joints, weights sum to 1, 6 clips) + raster.py preview vs original.</t>
  </si>
  <si>
    <t xml:space="preserve">DEC-05</t>
  </si>
  <si>
    <t xml:space="preserve">Tipi targets: 40k tris / 2048 px desktop, 15k / 1024 px mobile</t>
  </si>
  <si>
    <t xml:space="preserve">Tipi is ~3 m and close to camera; keep texture detail higher than NPC parts.</t>
  </si>
  <si>
    <t xml:space="preserve">raster.py per-pixel preview vs original.</t>
  </si>
  <si>
    <t xml:space="preserve">DEC-06</t>
  </si>
  <si>
    <t xml:space="preserve">Do not change game code without approval</t>
  </si>
  <si>
    <t xml:space="preserve">User asked to plan the swap; repo scope-lock rule; PiP invariant.</t>
  </si>
  <si>
    <t xml:space="preserve">DEC-07</t>
  </si>
  <si>
    <t xml:space="preserve">Deliver the workbook as .xlsx</t>
  </si>
  <si>
    <t xml:space="preserve">No spreadsheet artifact type is offered in this session.</t>
  </si>
  <si>
    <t xml:space="preserve">Artifact type listing.</t>
  </si>
  <si>
    <t xml:space="preserve">00_Index</t>
  </si>
  <si>
    <t xml:space="preserve">DEC-08</t>
  </si>
  <si>
    <t xml:space="preserve">Revert the package-lock.json rename instead of committing it</t>
  </si>
  <si>
    <t xml:space="preserve">Side effect of npm install in a differently named folder; scope lock.</t>
  </si>
  <si>
    <t xml:space="preserve">git diff showed only the name field.</t>
  </si>
  <si>
    <t xml:space="preserve">DEC-09</t>
  </si>
  <si>
    <t xml:space="preserve">Record comments as 'Assumed', measurements as 'Verified'</t>
  </si>
  <si>
    <t xml:space="preserve">Zero-trust mode.</t>
  </si>
  <si>
    <t xml:space="preserve">Column split in 30_Modules, 20_Subsystems, 50_Findings.</t>
  </si>
  <si>
    <t xml:space="preserve">DEC-11</t>
  </si>
  <si>
    <t xml:space="preserve">Name mobile files *.lite.mobile.glb</t>
  </si>
  <si>
    <t xml:space="preserve">The existing mobileGlbUrl rewrite (.glb → .mobile.glb) then works with no loader code change.</t>
  </si>
  <si>
    <t xml:space="preserve">trace/m.cjs: desktop and iPhone UA rewrite to files that exist.</t>
  </si>
  <si>
    <t xml:space="preserve">PLN-01, PLN-02</t>
  </si>
  <si>
    <t xml:space="preserve">DEC-12</t>
  </si>
  <si>
    <t xml:space="preserve">PiP render-path edits are approved</t>
  </si>
  <si>
    <t xml:space="preserve">User asked to super-cull the PiP; that satisfies sacred-pip-map-protect.</t>
  </si>
  <si>
    <t xml:space="preserve">DEC-13</t>
  </si>
  <si>
    <t xml:space="preserve">Fishing cull is view-based only, never distance or type</t>
  </si>
  <si>
    <t xml:space="preserve">92a1163 reversed a 16 m distance cull because tipis/trees/NPCs vanished (ATT-04).</t>
  </si>
  <si>
    <t xml:space="preserve">three.js already frustum-culls every heavy mesh (frustumCulled stays true); removed real extra passes instead.</t>
  </si>
  <si>
    <t xml:space="preserve">DEC-14</t>
  </si>
  <si>
    <t xml:space="preserve">Leave the shadow map running while fishing</t>
  </si>
  <si>
    <t xml:space="preserve">The avatar casts a shadow and animates while reeling; a frozen shadow map would freeze it.</t>
  </si>
  <si>
    <t xml:space="preserve">castShadow true on avatar meshes.</t>
  </si>
  <si>
    <t xml:space="preserve">DEC-15</t>
  </si>
  <si>
    <t xml:space="preserve">Keep PiP MSAA; drop only preserveDrawingBuffer</t>
  </si>
  <si>
    <t xml:space="preserve">MSAA removal is a visible change; preserveDrawingBuffer had no reader once PIP_FRAME was gone.</t>
  </si>
  <si>
    <t xml:space="preserve">grep for toDataURL/toBlob/readPixels on the PiP canvas: none.</t>
  </si>
  <si>
    <t xml:space="preserve">DEC-16</t>
  </si>
  <si>
    <t xml:space="preserve">Do not change the fishing DPR floor yet</t>
  </si>
  <si>
    <t xml:space="preserve">It was added on purpose for crispness; needs the user's call.</t>
  </si>
  <si>
    <t xml:space="preserve">DEC-10</t>
  </si>
  <si>
    <t xml:space="preserve">Use per-pixel rasterization for low-poly previews</t>
  </si>
  <si>
    <t xml:space="preserve">Centroid sampling made big triangles look blotchy and would mislead.</t>
  </si>
  <si>
    <t xml:space="preserve">raster.py vs render.py side by side.</t>
  </si>
  <si>
    <t xml:space="preserve">FND-01, FND-02</t>
  </si>
  <si>
    <t xml:space="preserve">Mechanical review playbook</t>
  </si>
  <si>
    <t xml:space="preserve">Zero-trust: run the check, do not trust the last result blindly</t>
  </si>
  <si>
    <t xml:space="preserve">Review ID</t>
  </si>
  <si>
    <t xml:space="preserve">Symptom</t>
  </si>
  <si>
    <t xml:space="preserve">Penetration point</t>
  </si>
  <si>
    <t xml:space="preserve">Mechanical check</t>
  </si>
  <si>
    <t xml:space="preserve">Last result</t>
  </si>
  <si>
    <t xml:space="preserve">RVW-01</t>
  </si>
  <si>
    <t xml:space="preserve">Low FPS in Village View</t>
  </si>
  <si>
    <t xml:space="preserve">In DevTools: watch anuOrchestrator._pipRenderedLastFrame for 60 frames with body.v4-top-down-view set.</t>
  </si>
  <si>
    <t xml:space="preserve">Code path renders every frame in top-down (FND-05).</t>
  </si>
  <si>
    <t xml:space="preserve">RVW-02</t>
  </si>
  <si>
    <t xml:space="preserve">FPS low but ANU reports OPTIMAL</t>
  </si>
  <si>
    <t xml:space="preserve">Compare 1/clock delta (anuOrchestrator.rawFPS) with 1000/AnuUniverse.budget avgMs; Performance panel GPU track.</t>
  </si>
  <si>
    <t xml:space="preserve">Governor input is JS-only time (FND-07).</t>
  </si>
  <si>
    <t xml:space="preserve">RVW-03</t>
  </si>
  <si>
    <t xml:space="preserve">Triangle count too high</t>
  </si>
  <si>
    <t xml:space="preserve">node tools/decision-engine/glbjson.mjs out.json &lt;glbs&gt; ; in game: anuOrchestrator.renderer.info.render.triangles</t>
  </si>
  <si>
    <t xml:space="preserve">Boot estimate 4.03M; REG + tipis = 66%.</t>
  </si>
  <si>
    <t xml:space="preserve">RVW-04</t>
  </si>
  <si>
    <t xml:space="preserve">Mobile crash / page reload</t>
  </si>
  <si>
    <t xml:space="preserve">js/v2/gltfLoaderSetup.js:L52</t>
  </si>
  <si>
    <t xml:space="preserve">For each URL in 51_Assets 'Loaded at boot', check its basename is in MOBILE_GLB_VARIANTS or the module skips it on mobile.</t>
  </si>
  <si>
    <t xml:space="preserve">Tipi URL missing from the set (FND-02).</t>
  </si>
  <si>
    <t xml:space="preserve">RVW-05</t>
  </si>
  <si>
    <t xml:space="preserve">Periodic hitch every ~2 s</t>
  </si>
  <si>
    <t xml:space="preserve">Performance trace: long tasks spaced 120 frames apart; temporarily set the interval huge and compare.</t>
  </si>
  <si>
    <t xml:space="preserve">Code path confirmed; not profiled (FND-09).</t>
  </si>
  <si>
    <t xml:space="preserve">RVW-06</t>
  </si>
  <si>
    <t xml:space="preserve">Module fpsCost numbers look wrong</t>
  </si>
  <si>
    <t xml:space="preserve">js/v2/Orchestrator.js:L486</t>
  </si>
  <si>
    <t xml:space="preserve">Check index.html: are all activate() calls before orc.start()?</t>
  </si>
  <si>
    <t xml:space="preserve">Yes — benches are not isolated (FND-14).</t>
  </si>
  <si>
    <t xml:space="preserve">RVW-07</t>
  </si>
  <si>
    <t xml:space="preserve">ANU event fires but nothing reacts</t>
  </si>
  <si>
    <t xml:space="preserve">js/v2/anu/InteractionBus.js:L18</t>
  </si>
  <si>
    <t xml:space="preserve">grep -rn 'subscribeInteraction(' over files with status Active/Imported in 30_Modules.</t>
  </si>
  <si>
    <t xml:space="preserve">0 live subscribers (FND-10).</t>
  </si>
  <si>
    <t xml:space="preserve">RVW-08</t>
  </si>
  <si>
    <t xml:space="preserve">A global changes unexpectedly</t>
  </si>
  <si>
    <t xml:space="preserve">Find the name in 41_Globals → writers column → grep 'window.&lt;name&gt;\s*=' in those files.</t>
  </si>
  <si>
    <t xml:space="preserve">Registry built by extract.py.</t>
  </si>
  <si>
    <t xml:space="preserve">RVW-09</t>
  </si>
  <si>
    <t xml:space="preserve">Swapped model breaks animation</t>
  </si>
  <si>
    <t xml:space="preserve">js/sanctuary/SanctuaryTipiNpcs.js:L79</t>
  </si>
  <si>
    <t xml:space="preserve">node tools/decision-engine/skincheck.mjs &lt;orig.glb&gt; &lt;new.glb&gt; — joints, weight sums, clip names must match.</t>
  </si>
  <si>
    <t xml:space="preserve">REG lite/mobile: 41 joints, 6 clips, weight deviation ≤ 0.0004.</t>
  </si>
  <si>
    <t xml:space="preserve">RVW-10</t>
  </si>
  <si>
    <t xml:space="preserve">Decimated model looks wrong</t>
  </si>
  <si>
    <t xml:space="preserve">node tools/decision-engine/dump.mjs &lt;glb&gt; &lt;dir&gt; ; python3 -I tools/decision-engine/raster.py &lt;dir&gt; out.png title</t>
  </si>
  <si>
    <t xml:space="preserve">REG and tipi previews delivered (reg_compare.png, tipi_compare.png).</t>
  </si>
  <si>
    <t xml:space="preserve">RVW-11</t>
  </si>
  <si>
    <t xml:space="preserve">New module added but nothing happens</t>
  </si>
  <si>
    <t xml:space="preserve">index.html:L451</t>
  </si>
  <si>
    <t xml:space="preserve">Check both orc.register(X) and await orc.activate('&lt;name&gt;') exist and are not commented; rerun extract.py → 30_Modules status.</t>
  </si>
  <si>
    <t xml:space="preserve">SanctuaryHexGrid is registered but its activate line is commented out.</t>
  </si>
  <si>
    <t xml:space="preserve">RVW-13</t>
  </si>
  <si>
    <t xml:space="preserve">Fishing scene slow</t>
  </si>
  <si>
    <t xml:space="preserve">js/sanctuary/SanctuaryFishing.js:L1293</t>
  </si>
  <si>
    <t xml:space="preserve">DevTools: scan scene for materials with transmission &gt; 0; check AnuUniverse.adaptiveDpr.snapshot() floor; count PiP renders; never fix by hiding world objects (ATT-04).</t>
  </si>
  <si>
    <t xml:space="preserve">Transmission removed; PiP scan skipped; DPR floor 1.5 still pinned.</t>
  </si>
  <si>
    <t xml:space="preserve">RVW-14</t>
  </si>
  <si>
    <t xml:space="preserve">A call or message seems to do nothing</t>
  </si>
  <si>
    <t xml:space="preserve">python3 -I tools/decision-engine/limbo.py &lt;repo&gt; system.json limbo.json — look the name up in 44_Limbo_Calls.</t>
  </si>
  <si>
    <t xml:space="preserve">13 postMessage types, 4 window functions, 7 DOM ids, 17 ANU events without a live receiver at build.</t>
  </si>
  <si>
    <t xml:space="preserve">RVW-12</t>
  </si>
  <si>
    <t xml:space="preserve">This workbook may be stale</t>
  </si>
  <si>
    <t xml:space="preserve">10_System commit row</t>
  </si>
  <si>
    <t xml:space="preserve">python3 -I tools/decision-engine/extract.py &lt;repo&gt; system.json &amp;&amp; python3 -I tools/decision-engine/build_engine.py … ; search the workbook for 'NOT FOUND'.</t>
  </si>
  <si>
    <t xml:space="preserve">Built at commit ae31a9f.</t>
  </si>
  <si>
    <t xml:space="preserve">Attempts ledger</t>
  </si>
  <si>
    <t xml:space="preserve">Shared by every agent: append a row for every attempt, success or failure</t>
  </si>
  <si>
    <t xml:space="preserve">Attempt ID</t>
  </si>
  <si>
    <t xml:space="preserve">Date</t>
  </si>
  <si>
    <t xml:space="preserve">Agent</t>
  </si>
  <si>
    <t xml:space="preserve">Area</t>
  </si>
  <si>
    <t xml:space="preserve">What was tried</t>
  </si>
  <si>
    <t xml:space="preserve">Result</t>
  </si>
  <si>
    <t xml:space="preserve">Do not retry</t>
  </si>
  <si>
    <t xml:space="preserve">Lesson</t>
  </si>
  <si>
    <t xml:space="preserve">ATT-01</t>
  </si>
  <si>
    <t xml:space="preserve">2026-05-09</t>
  </si>
  <si>
    <t xml:space="preserve">Previous agent</t>
  </si>
  <si>
    <t xml:space="preserve">Journal</t>
  </si>
  <si>
    <t xml:space="preserve">Kill the journal's GL context (iframe → about:blank on close)</t>
  </si>
  <si>
    <t xml:space="preserve">Reverted (98c4819): slow load + broken journal</t>
  </si>
  <si>
    <t xml:space="preserve">d0f7895, 466fa8d → 98c4819</t>
  </si>
  <si>
    <t xml:space="preserve">Journal must stay loaded.</t>
  </si>
  <si>
    <t xml:space="preserve">ATT-02</t>
  </si>
  <si>
    <t xml:space="preserve">2026-05-26</t>
  </si>
  <si>
    <t xml:space="preserve">Flora</t>
  </si>
  <si>
    <t xml:space="preserve">V2_FLORA_MAX_TREE_INSTANCES = 0</t>
  </si>
  <si>
    <t xml:space="preserve">Failed: ≤0 disables the cap → ~3M tris; reset to 260</t>
  </si>
  <si>
    <t xml:space="preserve">docs/INCIDENT_REPORT_2026_05_26.md</t>
  </si>
  <si>
    <t xml:space="preserve">Never set the cap ≤ 0.</t>
  </si>
  <si>
    <t xml:space="preserve">ATT-03</t>
  </si>
  <si>
    <t xml:space="preserve">Repo</t>
  </si>
  <si>
    <t xml:space="preserve">git restore . &amp;&amp; git clean -fd to 'clean' a bad agent's work</t>
  </si>
  <si>
    <t xml:space="preserve">Failed: destroyed the user's uncommitted work + 60 files</t>
  </si>
  <si>
    <t xml:space="preserve">No destructive git, ever.</t>
  </si>
  <si>
    <t xml:space="preserve">ATT-04</t>
  </si>
  <si>
    <t xml:space="preserve">2026-05-29</t>
  </si>
  <si>
    <t xml:space="preserve">Hide everything beyond 16 m while fishing</t>
  </si>
  <si>
    <t xml:space="preserve">Reverted (92a1163): tipis, trees, NPCs vanished; radius 70 m + exclusions</t>
  </si>
  <si>
    <t xml:space="preserve">92a1163</t>
  </si>
  <si>
    <t xml:space="preserve">Fishing culling must be view-based only.</t>
  </si>
  <si>
    <t xml:space="preserve">ATT-05</t>
  </si>
  <si>
    <t xml:space="preserve">2026-05-27</t>
  </si>
  <si>
    <t xml:space="preserve">PiP</t>
  </si>
  <si>
    <t xml:space="preserve">Unthrottle PiP + semantic culling + hologram theme</t>
  </si>
  <si>
    <t xml:space="preserve">Partly reverted: hologram removed (47424db); tree culling undone (5bf2db8)</t>
  </si>
  <si>
    <t xml:space="preserve">049c9a1 → 47424db, 5bf2db8</t>
  </si>
  <si>
    <t xml:space="preserve">Trees and bushes must show in the minimap in normal view.</t>
  </si>
  <si>
    <t xml:space="preserve">ATT-06</t>
  </si>
  <si>
    <t xml:space="preserve">2026-05-28</t>
  </si>
  <si>
    <t xml:space="preserve">Hide dial koi / player border / gauge rim while fishing</t>
  </si>
  <si>
    <t xml:space="preserve">Reverted (6204233) on user push-back</t>
  </si>
  <si>
    <t xml:space="preserve">6204233</t>
  </si>
  <si>
    <t xml:space="preserve">Keep player border visible; recolour instead.</t>
  </si>
  <si>
    <t xml:space="preserve">ATT-07</t>
  </si>
  <si>
    <t xml:space="preserve">Maps</t>
  </si>
  <si>
    <t xml:space="preserve">Change the default map on load (scene0/scene1), force-reset localStorage</t>
  </si>
  <si>
    <t xml:space="preserve">Reverted 3× the same day</t>
  </si>
  <si>
    <t xml:space="preserve">a4fbc78, 5e06b8c → 15a7e16, c83d57c, 491295f</t>
  </si>
  <si>
    <t xml:space="preserve">Ask the user before touching the default map.</t>
  </si>
  <si>
    <t xml:space="preserve">ATT-08</t>
  </si>
  <si>
    <t xml:space="preserve">Avatar</t>
  </si>
  <si>
    <t xml:space="preserve">Turn avatar 180° to fix start orientation</t>
  </si>
  <si>
    <t xml:space="preserve">Reverted</t>
  </si>
  <si>
    <t xml:space="preserve">9900df1</t>
  </si>
  <si>
    <t xml:space="preserve">ATT-09</t>
  </si>
  <si>
    <t xml:space="preserve">Pool</t>
  </si>
  <si>
    <t xml:space="preserve">Water clarity bundle + remove moss tufts</t>
  </si>
  <si>
    <t xml:space="preserve">de3c912 → d8ee422</t>
  </si>
  <si>
    <t xml:space="preserve">ATT-10</t>
  </si>
  <si>
    <t xml:space="preserve">2026-05-30</t>
  </si>
  <si>
    <t xml:space="preserve">Hex grid</t>
  </si>
  <si>
    <t xml:space="preserve">Gold 3D hex lines / invisible overlay</t>
  </si>
  <si>
    <t xml:space="preserve">Removed (a51037c) / reverted (58d4372); seams live in the terrain shader; SanctuaryHexGrid activation commented out</t>
  </si>
  <si>
    <t xml:space="preserve">a51037c, 58d4372</t>
  </si>
  <si>
    <t xml:space="preserve">Do not reactivate SanctuaryHexGrid without asking.</t>
  </si>
  <si>
    <t xml:space="preserve">ATT-11</t>
  </si>
  <si>
    <t xml:space="preserve">2026-05-31</t>
  </si>
  <si>
    <t xml:space="preserve">User directive</t>
  </si>
  <si>
    <t xml:space="preserve">Service worker</t>
  </si>
  <si>
    <t xml:space="preserve">Caching service worker</t>
  </si>
  <si>
    <t xml:space="preserve">Replaced by self-destruct kill switch on request</t>
  </si>
  <si>
    <t xml:space="preserve">53b7422</t>
  </si>
  <si>
    <t xml:space="preserve">No caching without the user's OK (PLN-10).</t>
  </si>
  <si>
    <t xml:space="preserve">ATT-12</t>
  </si>
  <si>
    <t xml:space="preserve">2026-06-01</t>
  </si>
  <si>
    <t xml:space="preserve">Mobile</t>
  </si>
  <si>
    <t xml:space="preserve">Second WebGL context for PiP on iOS</t>
  </si>
  <si>
    <t xml:space="preserve">Failed: context limit / blank screen; mobile uses main-context render target</t>
  </si>
  <si>
    <t xml:space="preserve">e377f7c</t>
  </si>
  <si>
    <t xml:space="preserve">Never a 2nd WebGL context on mobile.</t>
  </si>
  <si>
    <t xml:space="preserve">ATT-13</t>
  </si>
  <si>
    <t xml:space="preserve">Full-scene geometry warm-up on mobile</t>
  </si>
  <si>
    <t xml:space="preserve">Failed: 'can't load WebGL'; skipped on mobile</t>
  </si>
  <si>
    <t xml:space="preserve">git log 2026-06-01</t>
  </si>
  <si>
    <t xml:space="preserve">ATT-14</t>
  </si>
  <si>
    <t xml:space="preserve">Cap mobile textures at 256 px at upload</t>
  </si>
  <si>
    <t xml:space="preserve">Worked: stopped iOS OOM</t>
  </si>
  <si>
    <t xml:space="preserve">Keep.</t>
  </si>
  <si>
    <t xml:space="preserve">ATT-15</t>
  </si>
  <si>
    <t xml:space="preserve">Claude</t>
  </si>
  <si>
    <t xml:space="preserve">Tooling</t>
  </si>
  <si>
    <t xml:space="preserve">Install Playwright Chromium to run the game headless</t>
  </si>
  <si>
    <t xml:space="preserve">Failed: browser download blocked by the network allowlist</t>
  </si>
  <si>
    <t xml:space="preserve">npx playwright install</t>
  </si>
  <si>
    <t xml:space="preserve">Use static gates + offline raster checks here; runtime checks happen on the user's machine.</t>
  </si>
  <si>
    <t xml:space="preserve">ATT-16</t>
  </si>
  <si>
    <t xml:space="preserve">Parse gltf-transform inspect CSV</t>
  </si>
  <si>
    <t xml:space="preserve">Failed: output is tables; replaced by glbjson.mjs (NodeIO)</t>
  </si>
  <si>
    <t xml:space="preserve">glbjson.mjs</t>
  </si>
  <si>
    <t xml:space="preserve">ATT-17</t>
  </si>
  <si>
    <t xml:space="preserve">Previews</t>
  </si>
  <si>
    <t xml:space="preserve">Centroid-sampled preview of decimated models</t>
  </si>
  <si>
    <t xml:space="preserve">Misleading: big triangles looked blotchy; replaced by per-pixel raster.py</t>
  </si>
  <si>
    <t xml:space="preserve">raster.py</t>
  </si>
  <si>
    <t xml:space="preserve">ATT-18</t>
  </si>
  <si>
    <t xml:space="preserve">Stub navigator by assignment in Node 22</t>
  </si>
  <si>
    <t xml:space="preserve">Failed silently (read-only global); use Object.defineProperty</t>
  </si>
  <si>
    <t xml:space="preserve">trace/m.cjs</t>
  </si>
  <si>
    <t xml:space="preserve">ATT-19</t>
  </si>
  <si>
    <t xml:space="preserve">Limbo tracer</t>
  </si>
  <si>
    <t xml:space="preserve">Line-based regex over live code</t>
  </si>
  <si>
    <t xml:space="preserve">False positives: multi-line calls, comments, prose file, relay lists, nested frames; fixed</t>
  </si>
  <si>
    <t xml:space="preserve">limbo.py</t>
  </si>
  <si>
    <t xml:space="preserve">Keep full-text + comment filter + relay lists + nested frames.</t>
  </si>
  <si>
    <t xml:space="preserve">ATT-20</t>
  </si>
  <si>
    <t xml:space="preserve">REG</t>
  </si>
  <si>
    <t xml:space="preserve">REG lite with 1024 px textures</t>
  </si>
  <si>
    <t xml:space="preserve">Too heavy: 198 MB VRAM; 512 px → 66 MB</t>
  </si>
  <si>
    <t xml:space="preserve">lite.mjs</t>
  </si>
  <si>
    <t xml:space="preserve">ATT-21</t>
  </si>
  <si>
    <t xml:space="preserve">REG + tipi</t>
  </si>
  <si>
    <t xml:space="preserve">Swap to lite models (PLN-01/02)</t>
  </si>
  <si>
    <t xml:space="preserve">Done in code; static gates + URL trace pass; not runtime-tested</t>
  </si>
  <si>
    <t xml:space="preserve">SanctuaryTipiNpcs.js, SanctuaryTipis.js, gltfLoaderSetup.js</t>
  </si>
  <si>
    <t xml:space="preserve">Verify in browser: seats, scale, animation, mobile.</t>
  </si>
  <si>
    <t xml:space="preserve">ATT-22</t>
  </si>
  <si>
    <t xml:space="preserve">Remove PIP_FRAME, preserveDrawingBuffer false, skip fishing scan, cache light + time uniforms</t>
  </si>
  <si>
    <t xml:space="preserve">Done in code; not runtime-tested</t>
  </si>
  <si>
    <t xml:space="preserve">Orchestrator.js</t>
  </si>
  <si>
    <t xml:space="preserve">Verify minimap holds its frame between strides.</t>
  </si>
  <si>
    <t xml:space="preserve">ATT-23</t>
  </si>
  <si>
    <t xml:space="preserve">Gauge transmission → transparent standard material</t>
  </si>
  <si>
    <t xml:space="preserve">Done in code; visual check needed</t>
  </si>
  <si>
    <t xml:space="preserve">SanctuaryFishing.js</t>
  </si>
  <si>
    <t xml:space="preserve">If the dial looks wrong, revert this one material only.</t>
  </si>
  <si>
    <t xml:space="preserve">ATT-24</t>
  </si>
  <si>
    <t xml:space="preserve">Coder 1</t>
  </si>
  <si>
    <t xml:space="preserve">Line audit of Finding 2 + four new observations</t>
  </si>
  <si>
    <t xml:space="preserve">All claims re-verified by Claude</t>
  </si>
  <si>
    <t xml:space="preserve">CLM-16..20</t>
  </si>
  <si>
    <t xml:space="preserve">Session log</t>
  </si>
  <si>
    <t xml:space="preserve">Newest last</t>
  </si>
  <si>
    <t xml:space="preserve">Log ID</t>
  </si>
  <si>
    <t xml:space="preserve">What</t>
  </si>
  <si>
    <t xml:space="preserve">State</t>
  </si>
  <si>
    <t xml:space="preserve">Pointer</t>
  </si>
  <si>
    <t xml:space="preserve">LOG-01</t>
  </si>
  <si>
    <t xml:space="preserve">Cloned repos; identified SacredAdventures as the game; wrote claude/game-briefing.md to the project.</t>
  </si>
  <si>
    <t xml:space="preserve">Done</t>
  </si>
  <si>
    <t xml:space="preserve">LOG-02</t>
  </si>
  <si>
    <t xml:space="preserve">Forensic pass on ANU + render loop (Orchestrator, anu/*, AnuAdaptiveDpr, module updates).</t>
  </si>
  <si>
    <t xml:space="preserve">LOG-03</t>
  </si>
  <si>
    <t xml:space="preserve">Measured every live GLB (tris, textures, VRAM).</t>
  </si>
  <si>
    <t xml:space="preserve">LOG-04</t>
  </si>
  <si>
    <t xml:space="preserve">Started 'ANU Performance Forensic' doc; filled Bottom line + PiP sections. Bottom-line numbers (3.6M, 74%) predate fish.obj measurement — correct to 4.03M / 66%.</t>
  </si>
  <si>
    <t xml:space="preserve">Doc sections 2,3,5–9 pending</t>
  </si>
  <si>
    <t xml:space="preserve">LOG-05</t>
  </si>
  <si>
    <t xml:space="preserve">Built NPC.REG lite/mobile and tipi lite/mobile; verified rig + previews; delivered files.</t>
  </si>
  <si>
    <t xml:space="preserve">LOG-06</t>
  </si>
  <si>
    <t xml:space="preserve">Built this Decision Engine workbook from extract.py output.</t>
  </si>
  <si>
    <t xml:space="preserve">LOG-07</t>
  </si>
  <si>
    <t xml:space="preserve">Coder 1 report on Finding 2 received; every claim re-verified (CLM-16..20).</t>
  </si>
  <si>
    <t xml:space="preserve">LOG-08</t>
  </si>
  <si>
    <t xml:space="preserve">Built limbo.py tracer; found journal commands, GENERATE SCENE steps and PiP toggle in limbo.</t>
  </si>
  <si>
    <t xml:space="preserve">LOG-09</t>
  </si>
  <si>
    <t xml:space="preserve">Applied PLN-01/02 (lite REG + tipi), PiP quick wins and gauge material swap. Static gates pass; not runtime-tested (no browser here).</t>
  </si>
  <si>
    <t xml:space="preserve">Done (code)</t>
  </si>
  <si>
    <t xml:space="preserve">LOG-10</t>
  </si>
  <si>
    <t xml:space="preserve">NEXT: in-browser check of the swap and fishing view; decide DPR floor; PLN-17 journal routing; finish forensic doc.</t>
  </si>
  <si>
    <t xml:space="preserve">Next</t>
  </si>
  <si>
    <t xml:space="preserve">Glossary</t>
  </si>
  <si>
    <t xml:space="preserve">Term</t>
  </si>
  <si>
    <t xml:space="preserve">Meaning</t>
  </si>
  <si>
    <t xml:space="preserve">ANU / Anu / Simulation Universe</t>
  </si>
  <si>
    <t xml:space="preserve">The governance + telemetry layer (AnuModule + js/v2/anu). User-facing name since 2026-05-31: Simulation Universe.</t>
  </si>
  <si>
    <t xml:space="preserve">SacredOrchestrator</t>
  </si>
  <si>
    <t xml:space="preserve">Engine shell class in js/v2/Orchestrator.js; singleton at window.anuOrchestrator.</t>
  </si>
  <si>
    <t xml:space="preserve">Module</t>
  </si>
  <si>
    <t xml:space="preserve">Object {name, load, unload, update} registered and activated by the orchestrator.</t>
  </si>
  <si>
    <t xml:space="preserve">Picture-in-picture minimap/compass canvas #v2-pip-canvas; FPV in Village View, top-down map otherwise, gauge close-up while fishing.</t>
  </si>
  <si>
    <t xml:space="preserve">Village View</t>
  </si>
  <si>
    <t xml:space="preserve">Top-down main camera (body class v4-top-down-view) where mold tools work.</t>
  </si>
  <si>
    <t xml:space="preserve">Mold tool</t>
  </si>
  <si>
    <t xml:space="preserve">Village-shaping verb (grow_hill, plant_tree/flower/bush/lily/rock, place_tipi) applied through SanctuaryMutations.</t>
  </si>
  <si>
    <t xml:space="preserve">Stride</t>
  </si>
  <si>
    <t xml:space="preserve">PiP renders every Nth frame (baseline 16, max 22).</t>
  </si>
  <si>
    <t xml:space="preserve">DPR</t>
  </si>
  <si>
    <t xml:space="preserve">Device pixel ratio of the main renderer; AnuAdaptiveDpr steps a ladder 2.0 → 0.75.</t>
  </si>
  <si>
    <t xml:space="preserve">Stress level</t>
  </si>
  <si>
    <t xml:space="preserve">OPTIMAL / STRESS / CRITICAL from rolling JS frame time vs target (FrameBudget.getSystemStressLevel).</t>
  </si>
  <si>
    <t xml:space="preserve">Boot triangles</t>
  </si>
  <si>
    <t xml:space="preserve">Sum of measured GLB triangles × instances placed at boot (desktop, default map); excludes procedural ground/pool geometry.</t>
  </si>
  <si>
    <t xml:space="preserve">VRAM (est.)</t>
  </si>
  <si>
    <t xml:space="preserve">Texture width × height × 4 bytes × 1.333 for mips, uncompressed; per WebGL context.</t>
  </si>
  <si>
    <t xml:space="preserve">Reachable by import from index.html.</t>
  </si>
  <si>
    <t xml:space="preserve">Zero-trust</t>
  </si>
  <si>
    <t xml:space="preserve">Comments and docs are recorded as Assumed; only measured facts go in Verified columns.</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</si>
</sst>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3E2C23"/>
      <name val="Arial"/>
      <family val="0"/>
      <charset val="1"/>
    </font>
    <font>
      <i val="true"/>
      <sz val="10"/>
      <color rgb="FF666666"/>
      <name val="Arial"/>
      <family val="0"/>
      <charset val="1"/>
    </font>
    <font>
      <b val="true"/>
      <sz val="10"/>
      <color rgb="FFFFFFFF"/>
      <name val="Arial"/>
      <family val="0"/>
      <charset val="1"/>
    </font>
    <font>
      <u val="single"/>
      <sz val="10"/>
      <color rgb="FF0B5394"/>
      <name val="Arial"/>
      <family val="0"/>
      <charset val="1"/>
    </font>
    <font>
      <sz val="10"/>
      <name val="Arial"/>
      <family val="0"/>
      <charset val="1"/>
    </font>
    <font>
      <b val="true"/>
      <sz val="10"/>
      <name val="Arial"/>
      <family val="0"/>
      <charset val="1"/>
    </font>
    <font>
      <b val="true"/>
      <sz val="14"/>
      <color rgb="FF3E2C23"/>
      <name val="Arial"/>
      <family val="0"/>
      <charset val="1"/>
    </font>
    <font>
      <sz val="10"/>
      <name val="Arial"/>
      <family val="2"/>
    </font>
  </fonts>
  <fills count="7">
    <fill>
      <patternFill patternType="none"/>
    </fill>
    <fill>
      <patternFill patternType="gray125"/>
    </fill>
    <fill>
      <patternFill patternType="solid">
        <fgColor rgb="FF3E2C23"/>
        <bgColor rgb="FF333300"/>
      </patternFill>
    </fill>
    <fill>
      <patternFill patternType="solid">
        <fgColor rgb="FFF4CCCC"/>
        <bgColor rgb="FFD9D2C9"/>
      </patternFill>
    </fill>
    <fill>
      <patternFill patternType="solid">
        <fgColor rgb="FFFCE5CD"/>
        <bgColor rgb="FFFFF2CC"/>
      </patternFill>
    </fill>
    <fill>
      <patternFill patternType="solid">
        <fgColor rgb="FFFFF2CC"/>
        <bgColor rgb="FFFCE5CD"/>
      </patternFill>
    </fill>
    <fill>
      <patternFill patternType="solid">
        <fgColor rgb="FFE8F0E3"/>
        <bgColor rgb="FFFFF2CC"/>
      </patternFill>
    </fill>
  </fills>
  <borders count="2">
    <border diagonalUp="false" diagonalDown="false">
      <left/>
      <right/>
      <top/>
      <bottom/>
      <diagonal/>
    </border>
    <border diagonalUp="false" diagonalDown="false">
      <left/>
      <right/>
      <top/>
      <bottom style="thin">
        <color rgb="FFD9D2C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E2C23"/>
          <bgColor rgb="FF000000"/>
        </patternFill>
      </fill>
    </dxf>
    <dxf>
      <fill>
        <patternFill patternType="solid">
          <bgColor rgb="FF000000"/>
        </patternFill>
      </fill>
    </dxf>
    <dxf>
      <fill>
        <patternFill patternType="solid">
          <fgColor rgb="FFFFFFFF"/>
          <bgColor rgb="FF000000"/>
        </patternFill>
      </fill>
    </dxf>
    <dxf>
      <fill>
        <patternFill patternType="solid">
          <fgColor rgb="FFF4CCCC"/>
          <bgColor rgb="FF000000"/>
        </patternFill>
      </fill>
    </dxf>
    <dxf>
      <fill>
        <patternFill patternType="solid">
          <fgColor rgb="FFE8F0E3"/>
          <bgColor rgb="FF000000"/>
        </patternFill>
      </fill>
    </dxf>
    <dxf>
      <fill>
        <patternFill patternType="solid">
          <fgColor rgb="FFFCE5C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2C9"/>
      <rgbColor rgb="FF808080"/>
      <rgbColor rgb="FF9999FF"/>
      <rgbColor rgb="FF993366"/>
      <rgbColor rgb="FFFFF2CC"/>
      <rgbColor rgb="FFCCFFFF"/>
      <rgbColor rgb="FF660066"/>
      <rgbColor rgb="FFFF8080"/>
      <rgbColor rgb="FF0B5394"/>
      <rgbColor rgb="FFCCCCFF"/>
      <rgbColor rgb="FF000080"/>
      <rgbColor rgb="FFFF00FF"/>
      <rgbColor rgb="FFFFFF00"/>
      <rgbColor rgb="FF00FFFF"/>
      <rgbColor rgb="FF800080"/>
      <rgbColor rgb="FF800000"/>
      <rgbColor rgb="FF008080"/>
      <rgbColor rgb="FF0000FF"/>
      <rgbColor rgb="FF00CCFF"/>
      <rgbColor rgb="FFCCFFFF"/>
      <rgbColor rgb="FFE8F0E3"/>
      <rgbColor rgb="FFFCE5CD"/>
      <rgbColor rgb="FF99CCFF"/>
      <rgbColor rgb="FFFF99CC"/>
      <rgbColor rgb="FFCC99FF"/>
      <rgbColor rgb="FFF4CCCC"/>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E2C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Decision_Engine.xlsx" TargetMode="External"/><Relationship Id="rId2" Type="http://schemas.openxmlformats.org/officeDocument/2006/relationships/hyperlink" Target="Decision_Engine.xlsx" TargetMode="External"/><Relationship Id="rId3" Type="http://schemas.openxmlformats.org/officeDocument/2006/relationships/hyperlink" Target="Decision_Engine.xlsx" TargetMode="External"/><Relationship Id="rId4" Type="http://schemas.openxmlformats.org/officeDocument/2006/relationships/hyperlink" Target="Decision_Engine.xlsx" TargetMode="External"/><Relationship Id="rId5" Type="http://schemas.openxmlformats.org/officeDocument/2006/relationships/hyperlink" Target="Decision_Engine.xlsx" TargetMode="External"/><Relationship Id="rId6" Type="http://schemas.openxmlformats.org/officeDocument/2006/relationships/hyperlink" Target="Decision_Engine.xlsx" TargetMode="External"/><Relationship Id="rId7" Type="http://schemas.openxmlformats.org/officeDocument/2006/relationships/hyperlink" Target="Decision_Engine.xlsx" TargetMode="External"/><Relationship Id="rId8" Type="http://schemas.openxmlformats.org/officeDocument/2006/relationships/hyperlink" Target="Decision_Engine.xlsx" TargetMode="External"/><Relationship Id="rId9" Type="http://schemas.openxmlformats.org/officeDocument/2006/relationships/hyperlink" Target="Decision_Engine.xlsx" TargetMode="External"/><Relationship Id="rId10" Type="http://schemas.openxmlformats.org/officeDocument/2006/relationships/hyperlink" Target="Decision_Engine.xlsx" TargetMode="External"/><Relationship Id="rId11" Type="http://schemas.openxmlformats.org/officeDocument/2006/relationships/hyperlink" Target="Decision_Engine.xlsx" TargetMode="External"/><Relationship Id="rId12" Type="http://schemas.openxmlformats.org/officeDocument/2006/relationships/hyperlink" Target="Decision_Engine.xlsx" TargetMode="External"/><Relationship Id="rId13" Type="http://schemas.openxmlformats.org/officeDocument/2006/relationships/hyperlink" Target="Decision_Engine.xlsx" TargetMode="External"/><Relationship Id="rId14" Type="http://schemas.openxmlformats.org/officeDocument/2006/relationships/hyperlink" Target="Decision_Engine.xlsx" TargetMode="External"/><Relationship Id="rId15" Type="http://schemas.openxmlformats.org/officeDocument/2006/relationships/hyperlink" Target="Decision_Engine.xlsx" TargetMode="External"/><Relationship Id="rId16" Type="http://schemas.openxmlformats.org/officeDocument/2006/relationships/hyperlink" Target="Decision_Engine.xlsx" TargetMode="External"/><Relationship Id="rId17" Type="http://schemas.openxmlformats.org/officeDocument/2006/relationships/hyperlink" Target="Decision_Engine.xlsx" TargetMode="External"/><Relationship Id="rId18" Type="http://schemas.openxmlformats.org/officeDocument/2006/relationships/hyperlink" Target="Decision_Engine.xlsx" TargetMode="External"/><Relationship Id="rId19" Type="http://schemas.openxmlformats.org/officeDocument/2006/relationships/hyperlink" Target="Decision_Engine.xlsx"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1.xml"/><Relationship Id="rId3" Type="http://schemas.openxmlformats.org/officeDocument/2006/relationships/vmlDrawing" Target="../drawings/vmlDrawing1.v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62"/>
    <col collapsed="false" customWidth="true" hidden="false" outlineLevel="0" max="4" min="4" style="0" width="40"/>
    <col collapsed="false" customWidth="true" hidden="false" outlineLevel="0" max="5" min="5" style="0" width="8"/>
  </cols>
  <sheetData>
    <row r="1" customFormat="false" ht="19.7" hidden="false" customHeight="false" outlineLevel="0" collapsed="false">
      <c r="A1" s="1" t="s">
        <v>0</v>
      </c>
    </row>
    <row r="2" customFormat="false" ht="42" hidden="false" customHeight="true" outlineLevel="0" collapsed="false">
      <c r="A2" s="2" t="s">
        <v>1</v>
      </c>
      <c r="B2" s="2"/>
      <c r="C2" s="2"/>
      <c r="D2" s="2"/>
      <c r="E2" s="2"/>
    </row>
    <row r="4" customFormat="false" ht="15" hidden="false" customHeight="false" outlineLevel="0" collapsed="false">
      <c r="A4" s="3" t="s">
        <v>2</v>
      </c>
      <c r="B4" s="3" t="s">
        <v>3</v>
      </c>
      <c r="C4" s="3" t="s">
        <v>4</v>
      </c>
      <c r="D4" s="3" t="s">
        <v>5</v>
      </c>
      <c r="E4" s="3" t="s">
        <v>6</v>
      </c>
    </row>
    <row r="5" customFormat="false" ht="15" hidden="false" customHeight="false" outlineLevel="0" collapsed="false">
      <c r="A5" s="4" t="s">
        <v>7</v>
      </c>
      <c r="B5" s="5" t="s">
        <v>8</v>
      </c>
      <c r="C5" s="5" t="s">
        <v>9</v>
      </c>
      <c r="D5" s="5" t="s">
        <v>10</v>
      </c>
      <c r="E5" s="6" t="s">
        <v>11</v>
      </c>
    </row>
    <row r="6" customFormat="false" ht="15" hidden="false" customHeight="false" outlineLevel="0" collapsed="false">
      <c r="A6" s="4" t="s">
        <v>12</v>
      </c>
      <c r="B6" s="5" t="s">
        <v>8</v>
      </c>
      <c r="C6" s="5" t="s">
        <v>13</v>
      </c>
      <c r="D6" s="5" t="s">
        <v>14</v>
      </c>
      <c r="E6" s="6" t="n">
        <f aca="false">COUNTA(11_Boot_Sequence!A5:A2000)</f>
        <v>44</v>
      </c>
    </row>
    <row r="7" customFormat="false" ht="15" hidden="false" customHeight="false" outlineLevel="0" collapsed="false">
      <c r="A7" s="4" t="s">
        <v>15</v>
      </c>
      <c r="B7" s="5" t="s">
        <v>8</v>
      </c>
      <c r="C7" s="5" t="s">
        <v>16</v>
      </c>
      <c r="D7" s="5" t="s">
        <v>17</v>
      </c>
      <c r="E7" s="6" t="n">
        <f aca="false">COUNTA(12_Frame_Loop!A5:A2000)</f>
        <v>13</v>
      </c>
    </row>
    <row r="8" customFormat="false" ht="23.85" hidden="false" customHeight="false" outlineLevel="0" collapsed="false">
      <c r="A8" s="4" t="s">
        <v>18</v>
      </c>
      <c r="B8" s="5" t="s">
        <v>19</v>
      </c>
      <c r="C8" s="5" t="s">
        <v>20</v>
      </c>
      <c r="D8" s="5" t="s">
        <v>21</v>
      </c>
      <c r="E8" s="6" t="n">
        <f aca="false">COUNTA(20_Subsystems!A5:A2000)</f>
        <v>16</v>
      </c>
    </row>
    <row r="9" customFormat="false" ht="15" hidden="false" customHeight="false" outlineLevel="0" collapsed="false">
      <c r="A9" s="4" t="s">
        <v>22</v>
      </c>
      <c r="B9" s="5" t="s">
        <v>23</v>
      </c>
      <c r="C9" s="5" t="s">
        <v>24</v>
      </c>
      <c r="D9" s="5" t="s">
        <v>25</v>
      </c>
      <c r="E9" s="6" t="n">
        <f aca="false">COUNTA(30_Modules!A5:A2000)</f>
        <v>107</v>
      </c>
    </row>
    <row r="10" customFormat="false" ht="15" hidden="false" customHeight="false" outlineLevel="0" collapsed="false">
      <c r="A10" s="4" t="s">
        <v>26</v>
      </c>
      <c r="B10" s="5" t="s">
        <v>27</v>
      </c>
      <c r="C10" s="5" t="s">
        <v>28</v>
      </c>
      <c r="D10" s="5" t="s">
        <v>29</v>
      </c>
      <c r="E10" s="6" t="n">
        <f aca="false">COUNTA(40_Connections!A5:A2000)</f>
        <v>481</v>
      </c>
    </row>
    <row r="11" customFormat="false" ht="15" hidden="false" customHeight="false" outlineLevel="0" collapsed="false">
      <c r="A11" s="4" t="s">
        <v>30</v>
      </c>
      <c r="B11" s="5" t="s">
        <v>27</v>
      </c>
      <c r="C11" s="5" t="s">
        <v>31</v>
      </c>
      <c r="D11" s="5" t="s">
        <v>32</v>
      </c>
      <c r="E11" s="6" t="n">
        <f aca="false">COUNTA(41_Globals!A5:A2000)</f>
        <v>109</v>
      </c>
    </row>
    <row r="12" customFormat="false" ht="15" hidden="false" customHeight="false" outlineLevel="0" collapsed="false">
      <c r="A12" s="4" t="s">
        <v>33</v>
      </c>
      <c r="B12" s="5" t="s">
        <v>27</v>
      </c>
      <c r="C12" s="5" t="s">
        <v>34</v>
      </c>
      <c r="D12" s="5" t="s">
        <v>35</v>
      </c>
      <c r="E12" s="6" t="n">
        <f aca="false">COUNTA(42_Events!A5:A2000)</f>
        <v>25</v>
      </c>
    </row>
    <row r="13" customFormat="false" ht="15" hidden="false" customHeight="false" outlineLevel="0" collapsed="false">
      <c r="A13" s="4" t="s">
        <v>36</v>
      </c>
      <c r="B13" s="5" t="s">
        <v>27</v>
      </c>
      <c r="C13" s="5" t="s">
        <v>37</v>
      </c>
      <c r="D13" s="5" t="s">
        <v>38</v>
      </c>
      <c r="E13" s="6" t="n">
        <f aca="false">COUNTA(43_Services!A5:A2000)</f>
        <v>5</v>
      </c>
    </row>
    <row r="14" customFormat="false" ht="23.85" hidden="false" customHeight="false" outlineLevel="0" collapsed="false">
      <c r="A14" s="4" t="s">
        <v>39</v>
      </c>
      <c r="B14" s="5" t="s">
        <v>27</v>
      </c>
      <c r="C14" s="5" t="s">
        <v>40</v>
      </c>
      <c r="D14" s="5" t="s">
        <v>41</v>
      </c>
      <c r="E14" s="6" t="n">
        <f aca="false">COUNTA(44_Limbo_Calls!A5:A2000)</f>
        <v>201</v>
      </c>
    </row>
    <row r="15" customFormat="false" ht="15" hidden="false" customHeight="false" outlineLevel="0" collapsed="false">
      <c r="A15" s="4" t="s">
        <v>42</v>
      </c>
      <c r="B15" s="5" t="s">
        <v>43</v>
      </c>
      <c r="C15" s="5" t="s">
        <v>44</v>
      </c>
      <c r="D15" s="5" t="s">
        <v>45</v>
      </c>
      <c r="E15" s="6" t="n">
        <f aca="false">COUNTA(50_Findings!A5:A2000)</f>
        <v>31</v>
      </c>
    </row>
    <row r="16" customFormat="false" ht="23.85" hidden="false" customHeight="false" outlineLevel="0" collapsed="false">
      <c r="A16" s="4" t="s">
        <v>46</v>
      </c>
      <c r="B16" s="5" t="s">
        <v>43</v>
      </c>
      <c r="C16" s="5" t="s">
        <v>47</v>
      </c>
      <c r="D16" s="5" t="s">
        <v>48</v>
      </c>
      <c r="E16" s="6" t="n">
        <f aca="false">COUNTA(51_Assets!A5:A2000)</f>
        <v>16</v>
      </c>
    </row>
    <row r="17" customFormat="false" ht="15" hidden="false" customHeight="false" outlineLevel="0" collapsed="false">
      <c r="A17" s="4" t="s">
        <v>49</v>
      </c>
      <c r="B17" s="5" t="s">
        <v>43</v>
      </c>
      <c r="C17" s="5" t="s">
        <v>50</v>
      </c>
      <c r="D17" s="5" t="s">
        <v>51</v>
      </c>
      <c r="E17" s="6" t="n">
        <f aca="false">COUNTA(52_Claims_vs_Verified!A5:A2000)</f>
        <v>23</v>
      </c>
    </row>
    <row r="18" customFormat="false" ht="23.85" hidden="false" customHeight="false" outlineLevel="0" collapsed="false">
      <c r="A18" s="4" t="s">
        <v>52</v>
      </c>
      <c r="B18" s="5" t="s">
        <v>53</v>
      </c>
      <c r="C18" s="5" t="s">
        <v>54</v>
      </c>
      <c r="D18" s="5" t="s">
        <v>55</v>
      </c>
      <c r="E18" s="6" t="n">
        <f aca="false">COUNTA(60_Plan!A5:A2000)</f>
        <v>20</v>
      </c>
    </row>
    <row r="19" customFormat="false" ht="15" hidden="false" customHeight="false" outlineLevel="0" collapsed="false">
      <c r="A19" s="4" t="s">
        <v>56</v>
      </c>
      <c r="B19" s="5" t="s">
        <v>53</v>
      </c>
      <c r="C19" s="5" t="s">
        <v>57</v>
      </c>
      <c r="D19" s="5" t="s">
        <v>58</v>
      </c>
      <c r="E19" s="6" t="n">
        <f aca="false">COUNTA(61_Decision_Log!A5:A2000)</f>
        <v>16</v>
      </c>
    </row>
    <row r="20" customFormat="false" ht="15" hidden="false" customHeight="false" outlineLevel="0" collapsed="false">
      <c r="A20" s="4" t="s">
        <v>59</v>
      </c>
      <c r="B20" s="5" t="s">
        <v>53</v>
      </c>
      <c r="C20" s="5" t="s">
        <v>60</v>
      </c>
      <c r="D20" s="5" t="s">
        <v>61</v>
      </c>
      <c r="E20" s="6" t="n">
        <f aca="false">COUNTA(62_Review_Playbook!A5:A2000)</f>
        <v>14</v>
      </c>
    </row>
    <row r="21" customFormat="false" ht="23.85" hidden="false" customHeight="false" outlineLevel="0" collapsed="false">
      <c r="A21" s="4" t="s">
        <v>62</v>
      </c>
      <c r="B21" s="5" t="s">
        <v>53</v>
      </c>
      <c r="C21" s="5" t="s">
        <v>63</v>
      </c>
      <c r="D21" s="5" t="s">
        <v>64</v>
      </c>
      <c r="E21" s="6" t="n">
        <f aca="false">COUNTA(63_Attempts_Ledger!A5:A2000)</f>
        <v>24</v>
      </c>
    </row>
    <row r="22" customFormat="false" ht="15" hidden="false" customHeight="false" outlineLevel="0" collapsed="false">
      <c r="A22" s="4" t="s">
        <v>65</v>
      </c>
      <c r="B22" s="5" t="s">
        <v>66</v>
      </c>
      <c r="C22" s="5" t="s">
        <v>67</v>
      </c>
      <c r="D22" s="5" t="s">
        <v>68</v>
      </c>
      <c r="E22" s="6" t="n">
        <f aca="false">COUNTA(70_Session_Log!A5:A2000)</f>
        <v>10</v>
      </c>
    </row>
    <row r="23" customFormat="false" ht="15" hidden="false" customHeight="false" outlineLevel="0" collapsed="false">
      <c r="A23" s="4" t="s">
        <v>69</v>
      </c>
      <c r="B23" s="5" t="s">
        <v>70</v>
      </c>
      <c r="C23" s="5" t="s">
        <v>71</v>
      </c>
      <c r="D23" s="5" t="s">
        <v>72</v>
      </c>
      <c r="E23" s="6" t="n">
        <f aca="false">COUNTA(90_Glossary!A5:A2000)</f>
        <v>13</v>
      </c>
    </row>
    <row r="25" customFormat="false" ht="30" hidden="false" customHeight="true" outlineLevel="0" collapsed="false">
      <c r="A25" s="7" t="s">
        <v>73</v>
      </c>
      <c r="B25" s="8" t="s">
        <v>74</v>
      </c>
      <c r="C25" s="8"/>
      <c r="D25" s="8"/>
      <c r="E25" s="8"/>
    </row>
    <row r="26" customFormat="false" ht="30" hidden="false" customHeight="true" outlineLevel="0" collapsed="false">
      <c r="A26" s="7" t="s">
        <v>75</v>
      </c>
      <c r="B26" s="8" t="s">
        <v>76</v>
      </c>
      <c r="C26" s="8"/>
      <c r="D26" s="8"/>
      <c r="E26" s="8"/>
    </row>
    <row r="27" customFormat="false" ht="30" hidden="false" customHeight="true" outlineLevel="0" collapsed="false">
      <c r="A27" s="7" t="s">
        <v>77</v>
      </c>
      <c r="B27" s="8" t="s">
        <v>78</v>
      </c>
      <c r="C27" s="8"/>
      <c r="D27" s="8"/>
      <c r="E27" s="8"/>
    </row>
    <row r="28" customFormat="false" ht="30" hidden="false" customHeight="true" outlineLevel="0" collapsed="false">
      <c r="A28" s="7" t="s">
        <v>79</v>
      </c>
      <c r="B28" s="8" t="s">
        <v>80</v>
      </c>
      <c r="C28" s="8"/>
      <c r="D28" s="8"/>
      <c r="E28" s="8"/>
    </row>
    <row r="29" customFormat="false" ht="30" hidden="false" customHeight="true" outlineLevel="0" collapsed="false">
      <c r="A29" s="7" t="s">
        <v>81</v>
      </c>
      <c r="B29" s="8" t="s">
        <v>82</v>
      </c>
      <c r="C29" s="8"/>
      <c r="D29" s="8"/>
      <c r="E29" s="8"/>
    </row>
  </sheetData>
  <mergeCells count="6">
    <mergeCell ref="A2:E2"/>
    <mergeCell ref="B25:E25"/>
    <mergeCell ref="B26:E26"/>
    <mergeCell ref="B27:E27"/>
    <mergeCell ref="B28:E28"/>
    <mergeCell ref="B29:E29"/>
  </mergeCells>
  <hyperlinks>
    <hyperlink ref="A5" r:id="rId1" location="'10_System'!A1" display="10_System"/>
    <hyperlink ref="A6" r:id="rId2" location="'11_Boot_Sequence'!A1" display="11_Boot_Sequence"/>
    <hyperlink ref="A7" r:id="rId3" location="'12_Frame_Loop'!A1" display="12_Frame_Loop"/>
    <hyperlink ref="A8" r:id="rId4" location="'20_Subsystems'!A1" display="20_Subsystems"/>
    <hyperlink ref="A9" r:id="rId5" location="'30_Modules'!A1" display="30_Modules"/>
    <hyperlink ref="A10" r:id="rId6" location="'40_Connections'!A1" display="40_Connections"/>
    <hyperlink ref="A11" r:id="rId7" location="'41_Globals'!A1" display="41_Globals"/>
    <hyperlink ref="A12" r:id="rId8" location="'42_Events'!A1" display="42_Events"/>
    <hyperlink ref="A13" r:id="rId9" location="'43_Services'!A1" display="43_Services"/>
    <hyperlink ref="A14" r:id="rId10" location="'44_Limbo_Calls'!A1" display="44_Limbo_Calls"/>
    <hyperlink ref="A15" r:id="rId11" location="'50_Findings'!A1" display="50_Findings"/>
    <hyperlink ref="A16" r:id="rId12" location="'51_Assets'!A1" display="51_Assets"/>
    <hyperlink ref="A17" r:id="rId13" location="'52_Claims_vs_Verified'!A1" display="52_Claims_vs_Verified"/>
    <hyperlink ref="A18" r:id="rId14" location="'60_Plan'!A1" display="60_Plan"/>
    <hyperlink ref="A19" r:id="rId15" location="'61_Decision_Log'!A1" display="61_Decision_Log"/>
    <hyperlink ref="A20" r:id="rId16" location="'62_Review_Playbook'!A1" display="62_Review_Playbook"/>
    <hyperlink ref="A21" r:id="rId17" location="'63_Attempts_Ledger'!A1" display="63_Attempts_Ledger"/>
    <hyperlink ref="A22" r:id="rId18" location="'70_Session_Log'!A1" display="70_Session_Log"/>
    <hyperlink ref="A23" r:id="rId19" location="'90_Glossary'!A1" display="90_Glossar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9" t="s">
        <v>83</v>
      </c>
    </row>
    <row r="2" customFormat="false" ht="15" hidden="false" customHeight="false" outlineLevel="0" collapsed="false">
      <c r="A2" s="10" t="s">
        <v>84</v>
      </c>
    </row>
    <row r="4" customFormat="false" ht="15" hidden="false" customHeight="false" outlineLevel="0" collapsed="false">
      <c r="A4" s="3" t="s">
        <v>85</v>
      </c>
      <c r="B4" s="3" t="s">
        <v>86</v>
      </c>
      <c r="C4" s="3" t="s">
        <v>87</v>
      </c>
    </row>
    <row r="5" customFormat="false" ht="15" hidden="false" customHeight="false" outlineLevel="0" collapsed="false">
      <c r="A5" s="5" t="s">
        <v>88</v>
      </c>
      <c r="B5" s="5" t="s">
        <v>89</v>
      </c>
      <c r="C5" s="5" t="s">
        <v>90</v>
      </c>
    </row>
    <row r="6" customFormat="false" ht="15" hidden="false" customHeight="false" outlineLevel="0" collapsed="false">
      <c r="A6" s="5" t="s">
        <v>91</v>
      </c>
      <c r="B6" s="5" t="s">
        <v>92</v>
      </c>
      <c r="C6" s="5" t="s">
        <v>93</v>
      </c>
    </row>
    <row r="7" customFormat="false" ht="15" hidden="false" customHeight="false" outlineLevel="0" collapsed="false">
      <c r="A7" s="5" t="s">
        <v>94</v>
      </c>
      <c r="B7" s="5" t="s">
        <v>95</v>
      </c>
      <c r="C7" s="5" t="s">
        <v>96</v>
      </c>
    </row>
    <row r="8" customFormat="false" ht="15" hidden="false" customHeight="false" outlineLevel="0" collapsed="false">
      <c r="A8" s="5" t="s">
        <v>97</v>
      </c>
      <c r="B8" s="5" t="s">
        <v>98</v>
      </c>
      <c r="C8" s="5" t="s">
        <v>99</v>
      </c>
    </row>
    <row r="9" customFormat="false" ht="15" hidden="false" customHeight="false" outlineLevel="0" collapsed="false">
      <c r="A9" s="5" t="s">
        <v>100</v>
      </c>
      <c r="B9" s="11" t="n">
        <f aca="false">COUNTA(30_Modules!$A$5:$A$111)</f>
        <v>107</v>
      </c>
      <c r="C9" s="5" t="s">
        <v>22</v>
      </c>
    </row>
    <row r="10" customFormat="false" ht="15" hidden="false" customHeight="false" outlineLevel="0" collapsed="false">
      <c r="A10" s="5" t="s">
        <v>101</v>
      </c>
      <c r="B10" s="11" t="n">
        <f aca="false">COUNTIF(30_Modules!$E$5:$E$111,"Active")</f>
        <v>43</v>
      </c>
      <c r="C10" s="5" t="s">
        <v>102</v>
      </c>
    </row>
    <row r="11" customFormat="false" ht="15" hidden="false" customHeight="false" outlineLevel="0" collapsed="false">
      <c r="A11" s="5" t="s">
        <v>103</v>
      </c>
      <c r="B11" s="11" t="n">
        <f aca="false">COUNTIF(30_Modules!$E$5:$E$111,"Imported library (no module lifecycle)")</f>
        <v>35</v>
      </c>
      <c r="C11" s="5" t="s">
        <v>102</v>
      </c>
    </row>
    <row r="12" customFormat="false" ht="15" hidden="false" customHeight="false" outlineLevel="0" collapsed="false">
      <c r="A12" s="5" t="s">
        <v>104</v>
      </c>
      <c r="B12" s="11" t="n">
        <f aca="false">COUNTIF(30_Modules!$E$5:$E$111,"Registered, activation commented out")</f>
        <v>1</v>
      </c>
      <c r="C12" s="5" t="s">
        <v>102</v>
      </c>
    </row>
    <row r="13" customFormat="false" ht="15" hidden="false" customHeight="false" outlineLevel="0" collapsed="false">
      <c r="A13" s="5" t="s">
        <v>105</v>
      </c>
      <c r="B13" s="11" t="n">
        <f aca="false">COUNTIF(30_Modules!$E$5:$E$111,"Legacy v2 build only (index.v2.html)")</f>
        <v>20</v>
      </c>
      <c r="C13" s="5" t="s">
        <v>102</v>
      </c>
    </row>
    <row r="14" customFormat="false" ht="15" hidden="false" customHeight="false" outlineLevel="0" collapsed="false">
      <c r="A14" s="5" t="s">
        <v>106</v>
      </c>
      <c r="B14" s="11" t="n">
        <f aca="false">COUNTIF(30_Modules!$E$5:$E$111,"Unreferenced by any entry page")</f>
        <v>8</v>
      </c>
      <c r="C14" s="5" t="s">
        <v>102</v>
      </c>
    </row>
    <row r="15" customFormat="false" ht="15" hidden="false" customHeight="false" outlineLevel="0" collapsed="false">
      <c r="A15" s="5" t="s">
        <v>107</v>
      </c>
      <c r="B15" s="11" t="n">
        <f aca="false">51_Assets!F22</f>
        <v>1530827</v>
      </c>
      <c r="C15" s="5" t="s">
        <v>108</v>
      </c>
    </row>
    <row r="16" customFormat="false" ht="15" hidden="false" customHeight="false" outlineLevel="0" collapsed="false">
      <c r="A16" s="5" t="s">
        <v>109</v>
      </c>
      <c r="B16" s="11" t="n">
        <f aca="false">51_Assets!J22</f>
        <v>647.1</v>
      </c>
      <c r="C16" s="5" t="s">
        <v>108</v>
      </c>
    </row>
    <row r="17" customFormat="false" ht="15" hidden="false" customHeight="false" outlineLevel="0" collapsed="false">
      <c r="A17" s="5" t="s">
        <v>110</v>
      </c>
      <c r="B17" s="5" t="n">
        <v>2</v>
      </c>
      <c r="C17" s="5" t="s">
        <v>111</v>
      </c>
    </row>
    <row r="18" customFormat="false" ht="15" hidden="false" customHeight="false" outlineLevel="0" collapsed="false">
      <c r="A18" s="5" t="s">
        <v>112</v>
      </c>
      <c r="B18" s="11" t="n">
        <f aca="false">COUNTIF(44_Limbo_Calls!$F$5:$F$205,"LIMBO*")</f>
        <v>43</v>
      </c>
      <c r="C18" s="5" t="s">
        <v>39</v>
      </c>
    </row>
    <row r="19" customFormat="false" ht="15" hidden="false" customHeight="false" outlineLevel="0" collapsed="false">
      <c r="A19" s="5" t="s">
        <v>113</v>
      </c>
      <c r="B19" s="11" t="n">
        <f aca="false">51_Assets!F23</f>
        <v>4030193</v>
      </c>
      <c r="C19" s="5" t="s">
        <v>108</v>
      </c>
    </row>
    <row r="20" customFormat="false" ht="15" hidden="false" customHeight="false" outlineLevel="0" collapsed="false">
      <c r="A20" s="5" t="s">
        <v>114</v>
      </c>
      <c r="B20" s="11" t="n">
        <f aca="false">51_Assets!J24</f>
        <v>939</v>
      </c>
      <c r="C20" s="5" t="s">
        <v>108</v>
      </c>
    </row>
    <row r="21" customFormat="false" ht="15" hidden="false" customHeight="false" outlineLevel="0" collapsed="false">
      <c r="A21" s="5" t="s">
        <v>115</v>
      </c>
      <c r="B21" s="11" t="n">
        <f aca="false">51_Assets!F23-51_Assets!F22</f>
        <v>2499366</v>
      </c>
      <c r="C21" s="5" t="s">
        <v>116</v>
      </c>
    </row>
    <row r="22" customFormat="false" ht="15" hidden="false" customHeight="false" outlineLevel="0" collapsed="false">
      <c r="A22" s="5" t="s">
        <v>117</v>
      </c>
      <c r="B22" s="11" t="n">
        <f aca="false">COUNTA(41_Globals!$A$5:$A$113)</f>
        <v>109</v>
      </c>
      <c r="C22" s="5" t="s">
        <v>30</v>
      </c>
    </row>
    <row r="23" customFormat="false" ht="15" hidden="false" customHeight="false" outlineLevel="0" collapsed="false">
      <c r="A23" s="5" t="s">
        <v>118</v>
      </c>
      <c r="B23" s="11" t="n">
        <f aca="false">COUNTIF(42_Events!$F$5:$F$29,"Live round trip")</f>
        <v>0</v>
      </c>
      <c r="C23" s="5" t="s">
        <v>33</v>
      </c>
    </row>
    <row r="24" customFormat="false" ht="15" hidden="false" customHeight="false" outlineLevel="0" collapsed="false">
      <c r="A24" s="5" t="s">
        <v>119</v>
      </c>
      <c r="B24" s="11" t="n">
        <f aca="false">COUNTIF(50_Findings!$B$5:$B$35,"Critical")+COUNTIF(50_Findings!$B$5:$B$35,"High")</f>
        <v>7</v>
      </c>
      <c r="C24" s="5" t="s">
        <v>42</v>
      </c>
    </row>
    <row r="25" customFormat="false" ht="23.85" hidden="false" customHeight="false" outlineLevel="0" collapsed="false">
      <c r="A25" s="5" t="s">
        <v>120</v>
      </c>
      <c r="B25" s="11" t="str">
        <f aca="false">COUNTIF(60_Plan!$G$5:$G$24,"Done*")&amp;" of "&amp;COUNTA(60_Plan!$A$5:$A$24)</f>
        <v>2 of 20</v>
      </c>
      <c r="C25" s="5" t="s">
        <v>121</v>
      </c>
    </row>
    <row r="26" customFormat="false" ht="15" hidden="false" customHeight="false" outlineLevel="0" collapsed="false">
      <c r="A26" s="5" t="s">
        <v>122</v>
      </c>
      <c r="B26" s="5" t="s">
        <v>123</v>
      </c>
      <c r="C26" s="5" t="s">
        <v>124</v>
      </c>
    </row>
    <row r="27" customFormat="false" ht="15" hidden="false" customHeight="false" outlineLevel="0" collapsed="false">
      <c r="A27" s="5" t="s">
        <v>125</v>
      </c>
      <c r="B27" s="5" t="n">
        <v>65</v>
      </c>
      <c r="C27" s="5" t="s">
        <v>126</v>
      </c>
    </row>
    <row r="28" customFormat="false" ht="15" hidden="false" customHeight="false" outlineLevel="0" collapsed="false">
      <c r="A28" s="5" t="s">
        <v>127</v>
      </c>
      <c r="B28" s="5" t="s">
        <v>128</v>
      </c>
      <c r="C28" s="5" t="s">
        <v>129</v>
      </c>
    </row>
    <row r="29" customFormat="false" ht="15" hidden="false" customHeight="false" outlineLevel="0" collapsed="false">
      <c r="A29" s="5" t="s">
        <v>130</v>
      </c>
      <c r="B29" s="5" t="s">
        <v>131</v>
      </c>
      <c r="C29" s="5"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0"/>
    <col collapsed="false" customWidth="true" hidden="false" outlineLevel="0" max="4" min="4" style="0" width="40"/>
    <col collapsed="false" customWidth="true" hidden="false" outlineLevel="0" max="5" min="5" style="0" width="9"/>
    <col collapsed="false" customWidth="true" hidden="false" outlineLevel="0" max="6" min="6" style="0" width="10"/>
    <col collapsed="false" customWidth="true" hidden="false" outlineLevel="0" max="7" min="7" style="0" width="40"/>
  </cols>
  <sheetData>
    <row r="1" customFormat="false" ht="17.35" hidden="false" customHeight="false" outlineLevel="0" collapsed="false">
      <c r="A1" s="9" t="s">
        <v>133</v>
      </c>
    </row>
    <row r="2" customFormat="false" ht="15" hidden="false" customHeight="false" outlineLevel="0" collapsed="false">
      <c r="A2" s="10" t="s">
        <v>134</v>
      </c>
    </row>
    <row r="4" customFormat="false" ht="30" hidden="false" customHeight="true" outlineLevel="0" collapsed="false">
      <c r="A4" s="12" t="s">
        <v>135</v>
      </c>
      <c r="B4" s="12" t="s">
        <v>136</v>
      </c>
      <c r="C4" s="12" t="s">
        <v>137</v>
      </c>
      <c r="D4" s="12" t="s">
        <v>138</v>
      </c>
      <c r="E4" s="12" t="s">
        <v>139</v>
      </c>
      <c r="F4" s="12" t="s">
        <v>140</v>
      </c>
      <c r="G4" s="12" t="s">
        <v>141</v>
      </c>
    </row>
    <row r="5" customFormat="false" ht="15" hidden="false" customHeight="false" outlineLevel="0" collapsed="false">
      <c r="A5" s="5" t="n">
        <v>1</v>
      </c>
      <c r="B5" s="5" t="s">
        <v>142</v>
      </c>
      <c r="C5" s="5" t="s">
        <v>143</v>
      </c>
      <c r="D5" s="5" t="s">
        <v>144</v>
      </c>
      <c r="E5" s="5" t="s">
        <v>145</v>
      </c>
      <c r="F5" s="5"/>
      <c r="G5" s="5" t="s">
        <v>146</v>
      </c>
    </row>
    <row r="6" customFormat="false" ht="15" hidden="false" customHeight="false" outlineLevel="0" collapsed="false">
      <c r="A6" s="5" t="n">
        <v>2</v>
      </c>
      <c r="B6" s="5" t="s">
        <v>147</v>
      </c>
      <c r="C6" s="5" t="s">
        <v>148</v>
      </c>
      <c r="D6" s="5" t="s">
        <v>149</v>
      </c>
      <c r="E6" s="5" t="s">
        <v>150</v>
      </c>
      <c r="F6" s="5"/>
      <c r="G6" s="5" t="s">
        <v>151</v>
      </c>
    </row>
    <row r="7" customFormat="false" ht="15" hidden="false" customHeight="false" outlineLevel="0" collapsed="false">
      <c r="A7" s="5" t="n">
        <v>3</v>
      </c>
      <c r="B7" s="5" t="s">
        <v>152</v>
      </c>
      <c r="C7" s="5" t="s">
        <v>153</v>
      </c>
      <c r="D7" s="5" t="s">
        <v>154</v>
      </c>
      <c r="E7" s="5" t="s">
        <v>155</v>
      </c>
      <c r="F7" s="5"/>
      <c r="G7" s="5" t="s">
        <v>156</v>
      </c>
    </row>
    <row r="8" customFormat="false" ht="15" hidden="false" customHeight="false" outlineLevel="0" collapsed="false">
      <c r="A8" s="5" t="n">
        <v>4</v>
      </c>
      <c r="B8" s="5" t="s">
        <v>157</v>
      </c>
      <c r="C8" s="5" t="s">
        <v>158</v>
      </c>
      <c r="D8" s="5" t="s">
        <v>159</v>
      </c>
      <c r="E8" s="5" t="s">
        <v>155</v>
      </c>
      <c r="F8" s="5"/>
      <c r="G8" s="5" t="s">
        <v>160</v>
      </c>
    </row>
    <row r="9" customFormat="false" ht="15" hidden="false" customHeight="false" outlineLevel="0" collapsed="false">
      <c r="A9" s="5" t="n">
        <v>5</v>
      </c>
      <c r="B9" s="5" t="s">
        <v>161</v>
      </c>
      <c r="C9" s="5" t="s">
        <v>162</v>
      </c>
      <c r="D9" s="5" t="s">
        <v>163</v>
      </c>
      <c r="E9" s="5" t="s">
        <v>155</v>
      </c>
      <c r="F9" s="5"/>
      <c r="G9" s="5" t="s">
        <v>164</v>
      </c>
    </row>
    <row r="10" customFormat="false" ht="15" hidden="false" customHeight="false" outlineLevel="0" collapsed="false">
      <c r="A10" s="5" t="n">
        <v>6</v>
      </c>
      <c r="B10" s="5" t="s">
        <v>165</v>
      </c>
      <c r="C10" s="5" t="s">
        <v>166</v>
      </c>
      <c r="D10" s="5" t="s">
        <v>167</v>
      </c>
      <c r="E10" s="5" t="s">
        <v>168</v>
      </c>
      <c r="F10" s="5"/>
      <c r="G10" s="5" t="s">
        <v>169</v>
      </c>
    </row>
    <row r="11" customFormat="false" ht="15" hidden="false" customHeight="false" outlineLevel="0" collapsed="false">
      <c r="A11" s="5" t="n">
        <v>7</v>
      </c>
      <c r="B11" s="5" t="s">
        <v>170</v>
      </c>
      <c r="C11" s="5" t="s">
        <v>171</v>
      </c>
      <c r="D11" s="5" t="s">
        <v>172</v>
      </c>
      <c r="E11" s="5" t="s">
        <v>155</v>
      </c>
      <c r="F11" s="5"/>
      <c r="G11" s="5" t="s">
        <v>173</v>
      </c>
    </row>
    <row r="12" customFormat="false" ht="15" hidden="false" customHeight="false" outlineLevel="0" collapsed="false">
      <c r="A12" s="5" t="n">
        <v>8</v>
      </c>
      <c r="B12" s="5" t="s">
        <v>174</v>
      </c>
      <c r="C12" s="5" t="s">
        <v>175</v>
      </c>
      <c r="D12" s="5" t="s">
        <v>176</v>
      </c>
      <c r="E12" s="5" t="s">
        <v>177</v>
      </c>
      <c r="F12" s="5"/>
      <c r="G12" s="5" t="s">
        <v>178</v>
      </c>
    </row>
    <row r="13" customFormat="false" ht="15" hidden="false" customHeight="false" outlineLevel="0" collapsed="false">
      <c r="A13" s="5" t="n">
        <v>9</v>
      </c>
      <c r="B13" s="5" t="s">
        <v>179</v>
      </c>
      <c r="C13" s="5" t="s">
        <v>180</v>
      </c>
      <c r="D13" s="5" t="s">
        <v>181</v>
      </c>
      <c r="E13" s="5" t="s">
        <v>177</v>
      </c>
      <c r="F13" s="5" t="s">
        <v>182</v>
      </c>
      <c r="G13" s="5" t="s">
        <v>183</v>
      </c>
    </row>
    <row r="14" customFormat="false" ht="15" hidden="false" customHeight="false" outlineLevel="0" collapsed="false">
      <c r="A14" s="5" t="n">
        <v>10</v>
      </c>
      <c r="B14" s="5" t="s">
        <v>184</v>
      </c>
      <c r="C14" s="5" t="s">
        <v>185</v>
      </c>
      <c r="D14" s="5" t="s">
        <v>186</v>
      </c>
      <c r="E14" s="5" t="s">
        <v>177</v>
      </c>
      <c r="F14" s="5"/>
      <c r="G14" s="5" t="s">
        <v>187</v>
      </c>
    </row>
    <row r="15" customFormat="false" ht="15" hidden="false" customHeight="false" outlineLevel="0" collapsed="false">
      <c r="A15" s="5" t="n">
        <v>11</v>
      </c>
      <c r="B15" s="5" t="s">
        <v>188</v>
      </c>
      <c r="C15" s="5" t="s">
        <v>189</v>
      </c>
      <c r="D15" s="5" t="s">
        <v>190</v>
      </c>
      <c r="E15" s="5" t="s">
        <v>177</v>
      </c>
      <c r="F15" s="5"/>
      <c r="G15" s="5" t="s">
        <v>191</v>
      </c>
    </row>
    <row r="16" customFormat="false" ht="15" hidden="false" customHeight="false" outlineLevel="0" collapsed="false">
      <c r="A16" s="5" t="n">
        <v>12</v>
      </c>
      <c r="B16" s="5" t="s">
        <v>192</v>
      </c>
      <c r="C16" s="5" t="s">
        <v>193</v>
      </c>
      <c r="D16" s="5" t="s">
        <v>194</v>
      </c>
      <c r="E16" s="5" t="s">
        <v>155</v>
      </c>
      <c r="F16" s="5" t="s">
        <v>182</v>
      </c>
      <c r="G16" s="5" t="s">
        <v>195</v>
      </c>
    </row>
    <row r="17" customFormat="false" ht="15" hidden="false" customHeight="false" outlineLevel="0" collapsed="false">
      <c r="A17" s="5" t="n">
        <v>13</v>
      </c>
      <c r="B17" s="5" t="s">
        <v>196</v>
      </c>
      <c r="C17" s="5" t="s">
        <v>197</v>
      </c>
      <c r="D17" s="5" t="s">
        <v>198</v>
      </c>
      <c r="E17" s="5" t="s">
        <v>199</v>
      </c>
      <c r="F17" s="5" t="s">
        <v>182</v>
      </c>
      <c r="G17" s="5" t="s">
        <v>200</v>
      </c>
    </row>
    <row r="18" customFormat="false" ht="15" hidden="false" customHeight="false" outlineLevel="0" collapsed="false">
      <c r="A18" s="5" t="n">
        <v>14</v>
      </c>
      <c r="B18" s="5" t="s">
        <v>201</v>
      </c>
      <c r="C18" s="5" t="s">
        <v>202</v>
      </c>
      <c r="D18" s="5" t="s">
        <v>203</v>
      </c>
      <c r="E18" s="5" t="s">
        <v>199</v>
      </c>
      <c r="F18" s="5" t="s">
        <v>182</v>
      </c>
      <c r="G18" s="5" t="s">
        <v>204</v>
      </c>
    </row>
    <row r="19" customFormat="false" ht="15" hidden="false" customHeight="false" outlineLevel="0" collapsed="false">
      <c r="A19" s="5" t="n">
        <v>15</v>
      </c>
      <c r="B19" s="5" t="s">
        <v>205</v>
      </c>
      <c r="C19" s="5" t="s">
        <v>206</v>
      </c>
      <c r="D19" s="5" t="s">
        <v>207</v>
      </c>
      <c r="E19" s="5" t="s">
        <v>199</v>
      </c>
      <c r="F19" s="5" t="s">
        <v>182</v>
      </c>
      <c r="G19" s="5" t="s">
        <v>208</v>
      </c>
    </row>
    <row r="20" customFormat="false" ht="15" hidden="false" customHeight="false" outlineLevel="0" collapsed="false">
      <c r="A20" s="5" t="n">
        <v>16</v>
      </c>
      <c r="B20" s="5" t="s">
        <v>209</v>
      </c>
      <c r="C20" s="5" t="s">
        <v>210</v>
      </c>
      <c r="D20" s="5" t="s">
        <v>211</v>
      </c>
      <c r="E20" s="5" t="s">
        <v>199</v>
      </c>
      <c r="F20" s="5" t="s">
        <v>182</v>
      </c>
      <c r="G20" s="5" t="s">
        <v>212</v>
      </c>
    </row>
    <row r="21" customFormat="false" ht="15" hidden="false" customHeight="false" outlineLevel="0" collapsed="false">
      <c r="A21" s="5" t="n">
        <v>17</v>
      </c>
      <c r="B21" s="5" t="s">
        <v>213</v>
      </c>
      <c r="C21" s="5" t="s">
        <v>214</v>
      </c>
      <c r="D21" s="5" t="s">
        <v>215</v>
      </c>
      <c r="E21" s="5" t="s">
        <v>199</v>
      </c>
      <c r="F21" s="5" t="s">
        <v>182</v>
      </c>
      <c r="G21" s="5" t="s">
        <v>216</v>
      </c>
    </row>
    <row r="22" customFormat="false" ht="15" hidden="false" customHeight="false" outlineLevel="0" collapsed="false">
      <c r="A22" s="5" t="n">
        <v>18</v>
      </c>
      <c r="B22" s="5" t="s">
        <v>217</v>
      </c>
      <c r="C22" s="5" t="s">
        <v>218</v>
      </c>
      <c r="D22" s="5" t="s">
        <v>219</v>
      </c>
      <c r="E22" s="5" t="s">
        <v>199</v>
      </c>
      <c r="F22" s="5" t="s">
        <v>182</v>
      </c>
      <c r="G22" s="5" t="s">
        <v>220</v>
      </c>
    </row>
    <row r="23" customFormat="false" ht="15" hidden="false" customHeight="false" outlineLevel="0" collapsed="false">
      <c r="A23" s="5" t="n">
        <v>19</v>
      </c>
      <c r="B23" s="5" t="s">
        <v>221</v>
      </c>
      <c r="C23" s="5" t="s">
        <v>222</v>
      </c>
      <c r="D23" s="5" t="s">
        <v>223</v>
      </c>
      <c r="E23" s="5" t="s">
        <v>199</v>
      </c>
      <c r="F23" s="5" t="s">
        <v>182</v>
      </c>
      <c r="G23" s="5" t="s">
        <v>224</v>
      </c>
    </row>
    <row r="24" customFormat="false" ht="15" hidden="false" customHeight="false" outlineLevel="0" collapsed="false">
      <c r="A24" s="5" t="n">
        <v>20</v>
      </c>
      <c r="B24" s="5" t="s">
        <v>225</v>
      </c>
      <c r="C24" s="5" t="s">
        <v>226</v>
      </c>
      <c r="D24" s="5" t="s">
        <v>227</v>
      </c>
      <c r="E24" s="5" t="s">
        <v>199</v>
      </c>
      <c r="F24" s="5" t="s">
        <v>182</v>
      </c>
      <c r="G24" s="5" t="s">
        <v>228</v>
      </c>
    </row>
    <row r="25" customFormat="false" ht="15" hidden="false" customHeight="false" outlineLevel="0" collapsed="false">
      <c r="A25" s="5" t="n">
        <v>21</v>
      </c>
      <c r="B25" s="5" t="s">
        <v>229</v>
      </c>
      <c r="C25" s="5" t="s">
        <v>230</v>
      </c>
      <c r="D25" s="5" t="s">
        <v>231</v>
      </c>
      <c r="E25" s="5" t="s">
        <v>168</v>
      </c>
      <c r="F25" s="5" t="s">
        <v>182</v>
      </c>
      <c r="G25" s="5" t="s">
        <v>232</v>
      </c>
    </row>
    <row r="26" customFormat="false" ht="15" hidden="false" customHeight="false" outlineLevel="0" collapsed="false">
      <c r="A26" s="5" t="n">
        <v>22</v>
      </c>
      <c r="B26" s="5" t="s">
        <v>233</v>
      </c>
      <c r="C26" s="5" t="s">
        <v>234</v>
      </c>
      <c r="D26" s="5" t="s">
        <v>235</v>
      </c>
      <c r="E26" s="5" t="s">
        <v>199</v>
      </c>
      <c r="F26" s="5" t="s">
        <v>182</v>
      </c>
      <c r="G26" s="5" t="s">
        <v>236</v>
      </c>
    </row>
    <row r="27" customFormat="false" ht="15" hidden="false" customHeight="false" outlineLevel="0" collapsed="false">
      <c r="A27" s="5" t="n">
        <v>23</v>
      </c>
      <c r="B27" s="5" t="s">
        <v>237</v>
      </c>
      <c r="C27" s="5" t="s">
        <v>238</v>
      </c>
      <c r="D27" s="5" t="s">
        <v>239</v>
      </c>
      <c r="E27" s="5" t="s">
        <v>199</v>
      </c>
      <c r="F27" s="5" t="s">
        <v>182</v>
      </c>
      <c r="G27" s="5" t="s">
        <v>240</v>
      </c>
    </row>
    <row r="28" customFormat="false" ht="15" hidden="false" customHeight="false" outlineLevel="0" collapsed="false">
      <c r="A28" s="5" t="n">
        <v>24</v>
      </c>
      <c r="B28" s="5" t="s">
        <v>241</v>
      </c>
      <c r="C28" s="5" t="s">
        <v>242</v>
      </c>
      <c r="D28" s="5" t="s">
        <v>243</v>
      </c>
      <c r="E28" s="5" t="s">
        <v>177</v>
      </c>
      <c r="F28" s="5" t="s">
        <v>182</v>
      </c>
      <c r="G28" s="5" t="s">
        <v>244</v>
      </c>
    </row>
    <row r="29" customFormat="false" ht="15" hidden="false" customHeight="false" outlineLevel="0" collapsed="false">
      <c r="A29" s="5" t="n">
        <v>25</v>
      </c>
      <c r="B29" s="5" t="s">
        <v>245</v>
      </c>
      <c r="C29" s="5" t="s">
        <v>246</v>
      </c>
      <c r="D29" s="5" t="s">
        <v>247</v>
      </c>
      <c r="E29" s="5" t="s">
        <v>177</v>
      </c>
      <c r="F29" s="5" t="s">
        <v>182</v>
      </c>
      <c r="G29" s="5" t="s">
        <v>248</v>
      </c>
    </row>
    <row r="30" customFormat="false" ht="15" hidden="false" customHeight="false" outlineLevel="0" collapsed="false">
      <c r="A30" s="5" t="n">
        <v>26</v>
      </c>
      <c r="B30" s="5" t="s">
        <v>249</v>
      </c>
      <c r="C30" s="5" t="s">
        <v>250</v>
      </c>
      <c r="D30" s="5" t="s">
        <v>251</v>
      </c>
      <c r="E30" s="5" t="s">
        <v>252</v>
      </c>
      <c r="F30" s="5"/>
      <c r="G30" s="5" t="s">
        <v>253</v>
      </c>
    </row>
    <row r="31" customFormat="false" ht="15" hidden="false" customHeight="false" outlineLevel="0" collapsed="false">
      <c r="A31" s="5" t="n">
        <v>27</v>
      </c>
      <c r="B31" s="5" t="s">
        <v>254</v>
      </c>
      <c r="C31" s="5" t="s">
        <v>255</v>
      </c>
      <c r="D31" s="5" t="s">
        <v>256</v>
      </c>
      <c r="E31" s="5" t="s">
        <v>199</v>
      </c>
      <c r="F31" s="5" t="s">
        <v>182</v>
      </c>
      <c r="G31" s="5" t="s">
        <v>257</v>
      </c>
    </row>
    <row r="32" customFormat="false" ht="15" hidden="false" customHeight="false" outlineLevel="0" collapsed="false">
      <c r="A32" s="5" t="n">
        <v>28</v>
      </c>
      <c r="B32" s="5" t="s">
        <v>258</v>
      </c>
      <c r="C32" s="5" t="s">
        <v>259</v>
      </c>
      <c r="D32" s="5" t="s">
        <v>260</v>
      </c>
      <c r="E32" s="5" t="s">
        <v>199</v>
      </c>
      <c r="F32" s="5" t="s">
        <v>182</v>
      </c>
      <c r="G32" s="5" t="s">
        <v>261</v>
      </c>
    </row>
    <row r="33" customFormat="false" ht="15" hidden="false" customHeight="false" outlineLevel="0" collapsed="false">
      <c r="A33" s="5" t="n">
        <v>29</v>
      </c>
      <c r="B33" s="5" t="s">
        <v>262</v>
      </c>
      <c r="C33" s="5" t="s">
        <v>263</v>
      </c>
      <c r="D33" s="5" t="s">
        <v>264</v>
      </c>
      <c r="E33" s="5" t="s">
        <v>265</v>
      </c>
      <c r="F33" s="5" t="s">
        <v>182</v>
      </c>
      <c r="G33" s="5" t="s">
        <v>266</v>
      </c>
    </row>
    <row r="34" customFormat="false" ht="15" hidden="false" customHeight="false" outlineLevel="0" collapsed="false">
      <c r="A34" s="5" t="n">
        <v>30</v>
      </c>
      <c r="B34" s="5" t="s">
        <v>267</v>
      </c>
      <c r="C34" s="5" t="s">
        <v>268</v>
      </c>
      <c r="D34" s="5" t="s">
        <v>269</v>
      </c>
      <c r="E34" s="5" t="s">
        <v>199</v>
      </c>
      <c r="F34" s="5" t="s">
        <v>182</v>
      </c>
      <c r="G34" s="5" t="s">
        <v>270</v>
      </c>
    </row>
    <row r="35" customFormat="false" ht="15" hidden="false" customHeight="false" outlineLevel="0" collapsed="false">
      <c r="A35" s="5" t="n">
        <v>31</v>
      </c>
      <c r="B35" s="5" t="s">
        <v>271</v>
      </c>
      <c r="C35" s="5" t="s">
        <v>272</v>
      </c>
      <c r="D35" s="5" t="s">
        <v>273</v>
      </c>
      <c r="E35" s="5" t="s">
        <v>168</v>
      </c>
      <c r="F35" s="5"/>
      <c r="G35" s="5" t="s">
        <v>274</v>
      </c>
    </row>
    <row r="36" customFormat="false" ht="15" hidden="false" customHeight="false" outlineLevel="0" collapsed="false">
      <c r="A36" s="5" t="n">
        <v>32</v>
      </c>
      <c r="B36" s="5" t="s">
        <v>275</v>
      </c>
      <c r="C36" s="5" t="s">
        <v>276</v>
      </c>
      <c r="D36" s="5" t="s">
        <v>277</v>
      </c>
      <c r="E36" s="5" t="s">
        <v>278</v>
      </c>
      <c r="F36" s="5"/>
      <c r="G36" s="5" t="s">
        <v>279</v>
      </c>
    </row>
    <row r="37" customFormat="false" ht="15" hidden="false" customHeight="false" outlineLevel="0" collapsed="false">
      <c r="A37" s="5" t="n">
        <v>33</v>
      </c>
      <c r="B37" s="5" t="s">
        <v>280</v>
      </c>
      <c r="C37" s="5" t="s">
        <v>281</v>
      </c>
      <c r="D37" s="5" t="s">
        <v>282</v>
      </c>
      <c r="E37" s="5" t="s">
        <v>155</v>
      </c>
      <c r="F37" s="5"/>
      <c r="G37" s="5" t="s">
        <v>283</v>
      </c>
    </row>
    <row r="38" customFormat="false" ht="15" hidden="false" customHeight="false" outlineLevel="0" collapsed="false">
      <c r="A38" s="5" t="n">
        <v>34</v>
      </c>
      <c r="B38" s="5" t="s">
        <v>284</v>
      </c>
      <c r="C38" s="5" t="s">
        <v>285</v>
      </c>
      <c r="D38" s="5" t="s">
        <v>286</v>
      </c>
      <c r="E38" s="5" t="s">
        <v>177</v>
      </c>
      <c r="F38" s="5" t="s">
        <v>182</v>
      </c>
      <c r="G38" s="5" t="s">
        <v>287</v>
      </c>
    </row>
    <row r="39" customFormat="false" ht="15" hidden="false" customHeight="false" outlineLevel="0" collapsed="false">
      <c r="A39" s="5" t="n">
        <v>35</v>
      </c>
      <c r="B39" s="5" t="s">
        <v>288</v>
      </c>
      <c r="C39" s="5" t="s">
        <v>289</v>
      </c>
      <c r="D39" s="5" t="s">
        <v>290</v>
      </c>
      <c r="E39" s="5" t="s">
        <v>155</v>
      </c>
      <c r="F39" s="5" t="s">
        <v>182</v>
      </c>
      <c r="G39" s="5" t="s">
        <v>291</v>
      </c>
    </row>
    <row r="40" customFormat="false" ht="15" hidden="false" customHeight="false" outlineLevel="0" collapsed="false">
      <c r="A40" s="5" t="n">
        <v>36</v>
      </c>
      <c r="B40" s="5" t="s">
        <v>292</v>
      </c>
      <c r="C40" s="5" t="s">
        <v>293</v>
      </c>
      <c r="D40" s="5" t="s">
        <v>294</v>
      </c>
      <c r="E40" s="5" t="s">
        <v>278</v>
      </c>
      <c r="F40" s="5" t="s">
        <v>182</v>
      </c>
      <c r="G40" s="5" t="s">
        <v>295</v>
      </c>
    </row>
    <row r="41" customFormat="false" ht="15" hidden="false" customHeight="false" outlineLevel="0" collapsed="false">
      <c r="A41" s="5" t="n">
        <v>37</v>
      </c>
      <c r="B41" s="5" t="s">
        <v>296</v>
      </c>
      <c r="C41" s="5" t="s">
        <v>297</v>
      </c>
      <c r="D41" s="5" t="s">
        <v>298</v>
      </c>
      <c r="E41" s="5" t="s">
        <v>155</v>
      </c>
      <c r="F41" s="5" t="s">
        <v>182</v>
      </c>
      <c r="G41" s="5" t="s">
        <v>299</v>
      </c>
    </row>
    <row r="42" customFormat="false" ht="15" hidden="false" customHeight="false" outlineLevel="0" collapsed="false">
      <c r="A42" s="5" t="n">
        <v>38</v>
      </c>
      <c r="B42" s="5" t="s">
        <v>300</v>
      </c>
      <c r="C42" s="5" t="s">
        <v>301</v>
      </c>
      <c r="D42" s="5" t="s">
        <v>302</v>
      </c>
      <c r="E42" s="5" t="s">
        <v>303</v>
      </c>
      <c r="F42" s="5"/>
      <c r="G42" s="5" t="s">
        <v>304</v>
      </c>
    </row>
    <row r="43" customFormat="false" ht="15" hidden="false" customHeight="false" outlineLevel="0" collapsed="false">
      <c r="A43" s="5" t="n">
        <v>39</v>
      </c>
      <c r="B43" s="5" t="s">
        <v>305</v>
      </c>
      <c r="C43" s="5" t="s">
        <v>306</v>
      </c>
      <c r="D43" s="5" t="s">
        <v>307</v>
      </c>
      <c r="E43" s="5" t="s">
        <v>308</v>
      </c>
      <c r="F43" s="5" t="s">
        <v>182</v>
      </c>
      <c r="G43" s="5" t="s">
        <v>309</v>
      </c>
    </row>
    <row r="44" customFormat="false" ht="15" hidden="false" customHeight="false" outlineLevel="0" collapsed="false">
      <c r="A44" s="5" t="n">
        <v>40</v>
      </c>
      <c r="B44" s="5" t="s">
        <v>310</v>
      </c>
      <c r="C44" s="5" t="s">
        <v>311</v>
      </c>
      <c r="D44" s="5" t="s">
        <v>312</v>
      </c>
      <c r="E44" s="5" t="s">
        <v>308</v>
      </c>
      <c r="F44" s="5" t="s">
        <v>182</v>
      </c>
      <c r="G44" s="5" t="s">
        <v>313</v>
      </c>
    </row>
    <row r="45" customFormat="false" ht="15" hidden="false" customHeight="false" outlineLevel="0" collapsed="false">
      <c r="A45" s="5" t="n">
        <v>41</v>
      </c>
      <c r="B45" s="5" t="s">
        <v>314</v>
      </c>
      <c r="C45" s="5" t="s">
        <v>315</v>
      </c>
      <c r="D45" s="5" t="s">
        <v>316</v>
      </c>
      <c r="E45" s="5" t="s">
        <v>168</v>
      </c>
      <c r="F45" s="5"/>
      <c r="G45" s="5" t="s">
        <v>317</v>
      </c>
    </row>
    <row r="46" customFormat="false" ht="15" hidden="false" customHeight="false" outlineLevel="0" collapsed="false">
      <c r="A46" s="5" t="n">
        <v>42</v>
      </c>
      <c r="B46" s="5" t="s">
        <v>318</v>
      </c>
      <c r="C46" s="5" t="s">
        <v>319</v>
      </c>
      <c r="D46" s="5" t="s">
        <v>320</v>
      </c>
      <c r="E46" s="5" t="s">
        <v>155</v>
      </c>
      <c r="F46" s="5"/>
      <c r="G46" s="5" t="s">
        <v>321</v>
      </c>
    </row>
    <row r="47" customFormat="false" ht="15" hidden="false" customHeight="false" outlineLevel="0" collapsed="false">
      <c r="A47" s="5" t="n">
        <v>43</v>
      </c>
      <c r="B47" s="5" t="s">
        <v>322</v>
      </c>
      <c r="C47" s="5" t="s">
        <v>323</v>
      </c>
      <c r="D47" s="5" t="s">
        <v>324</v>
      </c>
      <c r="E47" s="5" t="s">
        <v>168</v>
      </c>
      <c r="F47" s="5"/>
      <c r="G47" s="5" t="s">
        <v>325</v>
      </c>
    </row>
    <row r="48" customFormat="false" ht="23.85" hidden="false" customHeight="false" outlineLevel="0" collapsed="false">
      <c r="A48" s="5" t="s">
        <v>11</v>
      </c>
      <c r="B48" s="5" t="s">
        <v>326</v>
      </c>
      <c r="C48" s="5" t="s">
        <v>327</v>
      </c>
      <c r="D48" s="5" t="s">
        <v>328</v>
      </c>
      <c r="E48" s="5" t="s">
        <v>155</v>
      </c>
      <c r="F48" s="5"/>
      <c r="G48" s="5" t="s">
        <v>329</v>
      </c>
    </row>
  </sheetData>
  <autoFilter ref="A4:G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2"/>
    <col collapsed="false" customWidth="true" hidden="false" outlineLevel="0" max="3" min="3" style="0" width="22"/>
    <col collapsed="false" customWidth="true" hidden="false" outlineLevel="0" max="4" min="4" style="0" width="32"/>
    <col collapsed="false" customWidth="true" hidden="false" outlineLevel="0" max="5" min="5" style="0" width="40"/>
    <col collapsed="false" customWidth="true" hidden="false" outlineLevel="0" max="6" min="6" style="0" width="18"/>
  </cols>
  <sheetData>
    <row r="1" customFormat="false" ht="17.35" hidden="false" customHeight="false" outlineLevel="0" collapsed="false">
      <c r="A1" s="9" t="s">
        <v>330</v>
      </c>
    </row>
    <row r="2" customFormat="false" ht="15" hidden="false" customHeight="false" outlineLevel="0" collapsed="false">
      <c r="A2" s="10" t="s">
        <v>331</v>
      </c>
    </row>
    <row r="4" customFormat="false" ht="30" hidden="false" customHeight="true" outlineLevel="0" collapsed="false">
      <c r="A4" s="12" t="s">
        <v>332</v>
      </c>
      <c r="B4" s="12" t="s">
        <v>333</v>
      </c>
      <c r="C4" s="12" t="s">
        <v>334</v>
      </c>
      <c r="D4" s="12" t="s">
        <v>141</v>
      </c>
      <c r="E4" s="12" t="s">
        <v>335</v>
      </c>
      <c r="F4" s="12" t="s">
        <v>336</v>
      </c>
    </row>
    <row r="5" customFormat="false" ht="15" hidden="false" customHeight="false" outlineLevel="0" collapsed="false">
      <c r="A5" s="5" t="n">
        <v>1</v>
      </c>
      <c r="B5" s="5" t="s">
        <v>337</v>
      </c>
      <c r="C5" s="5" t="s">
        <v>338</v>
      </c>
      <c r="D5" s="5" t="s">
        <v>339</v>
      </c>
      <c r="E5" s="5" t="s">
        <v>340</v>
      </c>
      <c r="F5" s="5"/>
    </row>
    <row r="6" customFormat="false" ht="15" hidden="false" customHeight="false" outlineLevel="0" collapsed="false">
      <c r="A6" s="5" t="n">
        <v>2</v>
      </c>
      <c r="B6" s="5" t="s">
        <v>341</v>
      </c>
      <c r="C6" s="5" t="s">
        <v>338</v>
      </c>
      <c r="D6" s="5" t="s">
        <v>342</v>
      </c>
      <c r="E6" s="5" t="s">
        <v>340</v>
      </c>
      <c r="F6" s="5"/>
    </row>
    <row r="7" customFormat="false" ht="23.85" hidden="false" customHeight="false" outlineLevel="0" collapsed="false">
      <c r="A7" s="5" t="n">
        <v>3</v>
      </c>
      <c r="B7" s="5" t="s">
        <v>343</v>
      </c>
      <c r="C7" s="5" t="s">
        <v>338</v>
      </c>
      <c r="D7" s="5" t="s">
        <v>344</v>
      </c>
      <c r="E7" s="5" t="s">
        <v>345</v>
      </c>
      <c r="F7" s="5" t="s">
        <v>346</v>
      </c>
    </row>
    <row r="8" customFormat="false" ht="23.85" hidden="false" customHeight="false" outlineLevel="0" collapsed="false">
      <c r="A8" s="5" t="n">
        <v>4</v>
      </c>
      <c r="B8" s="5" t="s">
        <v>347</v>
      </c>
      <c r="C8" s="5" t="s">
        <v>348</v>
      </c>
      <c r="D8" s="5" t="s">
        <v>349</v>
      </c>
      <c r="E8" s="5" t="s">
        <v>340</v>
      </c>
      <c r="F8" s="5" t="s">
        <v>350</v>
      </c>
    </row>
    <row r="9" customFormat="false" ht="15" hidden="false" customHeight="false" outlineLevel="0" collapsed="false">
      <c r="A9" s="5" t="n">
        <v>5</v>
      </c>
      <c r="B9" s="5" t="s">
        <v>351</v>
      </c>
      <c r="C9" s="5" t="s">
        <v>338</v>
      </c>
      <c r="D9" s="5" t="s">
        <v>352</v>
      </c>
      <c r="E9" s="5" t="s">
        <v>353</v>
      </c>
      <c r="F9" s="5" t="s">
        <v>354</v>
      </c>
    </row>
    <row r="10" customFormat="false" ht="15" hidden="false" customHeight="false" outlineLevel="0" collapsed="false">
      <c r="A10" s="5" t="n">
        <v>6</v>
      </c>
      <c r="B10" s="5" t="s">
        <v>355</v>
      </c>
      <c r="C10" s="5" t="s">
        <v>338</v>
      </c>
      <c r="D10" s="5" t="s">
        <v>356</v>
      </c>
      <c r="E10" s="5" t="s">
        <v>357</v>
      </c>
      <c r="F10" s="5" t="s">
        <v>358</v>
      </c>
    </row>
    <row r="11" customFormat="false" ht="23.85" hidden="false" customHeight="false" outlineLevel="0" collapsed="false">
      <c r="A11" s="5" t="n">
        <v>7</v>
      </c>
      <c r="B11" s="5" t="s">
        <v>359</v>
      </c>
      <c r="C11" s="5" t="s">
        <v>338</v>
      </c>
      <c r="D11" s="5" t="s">
        <v>360</v>
      </c>
      <c r="E11" s="5" t="s">
        <v>361</v>
      </c>
      <c r="F11" s="5" t="s">
        <v>362</v>
      </c>
    </row>
    <row r="12" customFormat="false" ht="23.85" hidden="false" customHeight="false" outlineLevel="0" collapsed="false">
      <c r="A12" s="5" t="n">
        <v>8</v>
      </c>
      <c r="B12" s="5" t="s">
        <v>363</v>
      </c>
      <c r="C12" s="5" t="s">
        <v>364</v>
      </c>
      <c r="D12" s="5" t="s">
        <v>365</v>
      </c>
      <c r="E12" s="5" t="s">
        <v>366</v>
      </c>
      <c r="F12" s="5" t="s">
        <v>367</v>
      </c>
    </row>
    <row r="13" customFormat="false" ht="15" hidden="false" customHeight="false" outlineLevel="0" collapsed="false">
      <c r="A13" s="5" t="n">
        <v>9</v>
      </c>
      <c r="B13" s="5" t="s">
        <v>368</v>
      </c>
      <c r="C13" s="5" t="s">
        <v>369</v>
      </c>
      <c r="D13" s="5" t="s">
        <v>370</v>
      </c>
      <c r="E13" s="5" t="s">
        <v>371</v>
      </c>
      <c r="F13" s="5"/>
    </row>
    <row r="14" customFormat="false" ht="15" hidden="false" customHeight="false" outlineLevel="0" collapsed="false">
      <c r="A14" s="5" t="n">
        <v>10</v>
      </c>
      <c r="B14" s="5" t="s">
        <v>372</v>
      </c>
      <c r="C14" s="5" t="s">
        <v>338</v>
      </c>
      <c r="D14" s="5" t="s">
        <v>373</v>
      </c>
      <c r="E14" s="5" t="s">
        <v>374</v>
      </c>
      <c r="F14" s="5" t="s">
        <v>375</v>
      </c>
    </row>
    <row r="15" customFormat="false" ht="15" hidden="false" customHeight="false" outlineLevel="0" collapsed="false">
      <c r="A15" s="5" t="n">
        <v>11</v>
      </c>
      <c r="B15" s="5" t="s">
        <v>376</v>
      </c>
      <c r="C15" s="5" t="s">
        <v>377</v>
      </c>
      <c r="D15" s="5" t="s">
        <v>378</v>
      </c>
      <c r="E15" s="5" t="s">
        <v>379</v>
      </c>
      <c r="F15" s="5"/>
    </row>
    <row r="16" customFormat="false" ht="23.85" hidden="false" customHeight="false" outlineLevel="0" collapsed="false">
      <c r="A16" s="5" t="n">
        <v>12</v>
      </c>
      <c r="B16" s="5" t="s">
        <v>380</v>
      </c>
      <c r="C16" s="5" t="s">
        <v>381</v>
      </c>
      <c r="D16" s="5" t="s">
        <v>382</v>
      </c>
      <c r="E16" s="5" t="s">
        <v>383</v>
      </c>
      <c r="F16" s="5" t="s">
        <v>384</v>
      </c>
    </row>
    <row r="17" customFormat="false" ht="15" hidden="false" customHeight="false" outlineLevel="0" collapsed="false">
      <c r="A17" s="5" t="n">
        <v>13</v>
      </c>
      <c r="B17" s="5" t="s">
        <v>385</v>
      </c>
      <c r="C17" s="5" t="s">
        <v>386</v>
      </c>
      <c r="D17" s="5" t="s">
        <v>387</v>
      </c>
      <c r="E17" s="5" t="s">
        <v>379</v>
      </c>
      <c r="F17" s="5"/>
    </row>
  </sheetData>
  <autoFilter ref="A4:F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44"/>
    <col collapsed="false" customWidth="true" hidden="false" outlineLevel="0" max="4" min="4" style="0" width="52"/>
    <col collapsed="false" customWidth="true" hidden="false" outlineLevel="0" max="6" min="5" style="0" width="9"/>
    <col collapsed="false" customWidth="true" hidden="false" outlineLevel="0" max="7" min="7" style="0" width="10"/>
    <col collapsed="false" customWidth="true" hidden="false" outlineLevel="0" max="8" min="8" style="0" width="40"/>
    <col collapsed="false" customWidth="true" hidden="false" outlineLevel="0" max="9" min="9" style="0" width="22"/>
    <col collapsed="false" customWidth="true" hidden="false" outlineLevel="0" max="10" min="10" style="0" width="16"/>
  </cols>
  <sheetData>
    <row r="1" customFormat="false" ht="17.35" hidden="false" customHeight="false" outlineLevel="0" collapsed="false">
      <c r="A1" s="9" t="s">
        <v>388</v>
      </c>
    </row>
    <row r="2" customFormat="false" ht="15" hidden="false" customHeight="false" outlineLevel="0" collapsed="false">
      <c r="A2" s="10" t="s">
        <v>389</v>
      </c>
    </row>
    <row r="4" customFormat="false" ht="30" hidden="false" customHeight="true" outlineLevel="0" collapsed="false">
      <c r="A4" s="12" t="s">
        <v>390</v>
      </c>
      <c r="B4" s="12" t="s">
        <v>139</v>
      </c>
      <c r="C4" s="12" t="s">
        <v>391</v>
      </c>
      <c r="D4" s="12" t="s">
        <v>392</v>
      </c>
      <c r="E4" s="12" t="s">
        <v>393</v>
      </c>
      <c r="F4" s="12" t="s">
        <v>101</v>
      </c>
      <c r="G4" s="12" t="s">
        <v>394</v>
      </c>
      <c r="H4" s="12" t="s">
        <v>395</v>
      </c>
      <c r="I4" s="12" t="s">
        <v>336</v>
      </c>
      <c r="J4" s="12" t="s">
        <v>396</v>
      </c>
    </row>
    <row r="5" customFormat="false" ht="23.85" hidden="false" customHeight="false" outlineLevel="0" collapsed="false">
      <c r="A5" s="5" t="s">
        <v>397</v>
      </c>
      <c r="B5" s="5" t="s">
        <v>398</v>
      </c>
      <c r="C5" s="5" t="s">
        <v>399</v>
      </c>
      <c r="D5" s="5" t="s">
        <v>400</v>
      </c>
      <c r="E5" s="5" t="n">
        <f aca="false">COUNTIF(30_Modules!$C$5:$C$111,A5)</f>
        <v>1</v>
      </c>
      <c r="F5" s="5" t="n">
        <f aca="false">COUNTIFS(30_Modules!$C$5:$C$111,A5,30_Modules!$E$5:$E$111,"Active")</f>
        <v>0</v>
      </c>
      <c r="G5" s="5" t="n">
        <f aca="false">SUMIF(30_Modules!$C$5:$C$111,A5,30_Modules!$Y$5:$Y$111)</f>
        <v>179</v>
      </c>
      <c r="H5" s="5" t="s">
        <v>401</v>
      </c>
      <c r="I5" s="5" t="s">
        <v>402</v>
      </c>
      <c r="J5" s="5" t="s">
        <v>403</v>
      </c>
    </row>
    <row r="6" customFormat="false" ht="23.85" hidden="false" customHeight="false" outlineLevel="0" collapsed="false">
      <c r="A6" s="5" t="s">
        <v>404</v>
      </c>
      <c r="B6" s="5" t="s">
        <v>405</v>
      </c>
      <c r="C6" s="5" t="s">
        <v>406</v>
      </c>
      <c r="D6" s="5" t="s">
        <v>407</v>
      </c>
      <c r="E6" s="5" t="n">
        <f aca="false">COUNTIF(30_Modules!$C$5:$C$111,A6)</f>
        <v>3</v>
      </c>
      <c r="F6" s="5" t="n">
        <f aca="false">COUNTIFS(30_Modules!$C$5:$C$111,A6,30_Modules!$E$5:$E$111,"Active")</f>
        <v>0</v>
      </c>
      <c r="G6" s="5" t="n">
        <f aca="false">SUMIF(30_Modules!$C$5:$C$111,A6,30_Modules!$Y$5:$Y$111)</f>
        <v>2990</v>
      </c>
      <c r="H6" s="5" t="s">
        <v>408</v>
      </c>
      <c r="I6" s="5" t="s">
        <v>409</v>
      </c>
      <c r="J6" s="5" t="s">
        <v>410</v>
      </c>
    </row>
    <row r="7" customFormat="false" ht="35.05" hidden="false" customHeight="false" outlineLevel="0" collapsed="false">
      <c r="A7" s="5" t="s">
        <v>145</v>
      </c>
      <c r="B7" s="5" t="s">
        <v>411</v>
      </c>
      <c r="C7" s="5" t="s">
        <v>412</v>
      </c>
      <c r="D7" s="5" t="s">
        <v>413</v>
      </c>
      <c r="E7" s="5" t="n">
        <f aca="false">COUNTIF(30_Modules!$C$5:$C$111,A7)</f>
        <v>12</v>
      </c>
      <c r="F7" s="5" t="n">
        <f aca="false">COUNTIFS(30_Modules!$C$5:$C$111,A7,30_Modules!$E$5:$E$111,"Active")</f>
        <v>1</v>
      </c>
      <c r="G7" s="5" t="n">
        <f aca="false">SUMIF(30_Modules!$C$5:$C$111,A7,30_Modules!$Y$5:$Y$111)</f>
        <v>3350</v>
      </c>
      <c r="H7" s="5" t="s">
        <v>414</v>
      </c>
      <c r="I7" s="5" t="s">
        <v>415</v>
      </c>
      <c r="J7" s="5" t="s">
        <v>416</v>
      </c>
    </row>
    <row r="8" customFormat="false" ht="23.85" hidden="false" customHeight="false" outlineLevel="0" collapsed="false">
      <c r="A8" s="5" t="s">
        <v>150</v>
      </c>
      <c r="B8" s="5" t="s">
        <v>417</v>
      </c>
      <c r="C8" s="5" t="s">
        <v>418</v>
      </c>
      <c r="D8" s="5" t="s">
        <v>419</v>
      </c>
      <c r="E8" s="5" t="n">
        <f aca="false">COUNTIF(30_Modules!$C$5:$C$111,A8)</f>
        <v>5</v>
      </c>
      <c r="F8" s="5" t="n">
        <f aca="false">COUNTIFS(30_Modules!$C$5:$C$111,A8,30_Modules!$E$5:$E$111,"Active")</f>
        <v>1</v>
      </c>
      <c r="G8" s="5" t="n">
        <f aca="false">SUMIF(30_Modules!$C$5:$C$111,A8,30_Modules!$Y$5:$Y$111)</f>
        <v>706</v>
      </c>
      <c r="H8" s="5" t="s">
        <v>420</v>
      </c>
      <c r="I8" s="5" t="s">
        <v>421</v>
      </c>
      <c r="J8" s="5" t="s">
        <v>422</v>
      </c>
    </row>
    <row r="9" customFormat="false" ht="35.05" hidden="false" customHeight="false" outlineLevel="0" collapsed="false">
      <c r="A9" s="5" t="s">
        <v>252</v>
      </c>
      <c r="B9" s="5" t="s">
        <v>423</v>
      </c>
      <c r="C9" s="5" t="s">
        <v>424</v>
      </c>
      <c r="D9" s="5" t="s">
        <v>425</v>
      </c>
      <c r="E9" s="5" t="n">
        <f aca="false">COUNTIF(30_Modules!$C$5:$C$111,A9)</f>
        <v>3</v>
      </c>
      <c r="F9" s="5" t="n">
        <f aca="false">COUNTIFS(30_Modules!$C$5:$C$111,A9,30_Modules!$E$5:$E$111,"Active")</f>
        <v>1</v>
      </c>
      <c r="G9" s="5" t="n">
        <f aca="false">SUMIF(30_Modules!$C$5:$C$111,A9,30_Modules!$Y$5:$Y$111)</f>
        <v>428</v>
      </c>
      <c r="H9" s="5" t="s">
        <v>426</v>
      </c>
      <c r="I9" s="5" t="s">
        <v>427</v>
      </c>
      <c r="J9" s="5" t="s">
        <v>428</v>
      </c>
    </row>
    <row r="10" customFormat="false" ht="35.05" hidden="false" customHeight="false" outlineLevel="0" collapsed="false">
      <c r="A10" s="5" t="s">
        <v>155</v>
      </c>
      <c r="B10" s="5" t="s">
        <v>429</v>
      </c>
      <c r="C10" s="5" t="s">
        <v>430</v>
      </c>
      <c r="D10" s="5" t="s">
        <v>431</v>
      </c>
      <c r="E10" s="5" t="n">
        <f aca="false">COUNTIF(30_Modules!$C$5:$C$111,A10)</f>
        <v>11</v>
      </c>
      <c r="F10" s="5" t="n">
        <f aca="false">COUNTIFS(30_Modules!$C$5:$C$111,A10,30_Modules!$E$5:$E$111,"Active")</f>
        <v>9</v>
      </c>
      <c r="G10" s="5" t="n">
        <f aca="false">SUMIF(30_Modules!$C$5:$C$111,A10,30_Modules!$Y$5:$Y$111)</f>
        <v>5275</v>
      </c>
      <c r="H10" s="5" t="s">
        <v>432</v>
      </c>
      <c r="I10" s="5"/>
      <c r="J10" s="5"/>
    </row>
    <row r="11" customFormat="false" ht="23.85" hidden="false" customHeight="false" outlineLevel="0" collapsed="false">
      <c r="A11" s="5" t="s">
        <v>168</v>
      </c>
      <c r="B11" s="5" t="s">
        <v>433</v>
      </c>
      <c r="C11" s="5" t="s">
        <v>434</v>
      </c>
      <c r="D11" s="5" t="s">
        <v>435</v>
      </c>
      <c r="E11" s="5" t="n">
        <f aca="false">COUNTIF(30_Modules!$C$5:$C$111,A11)</f>
        <v>6</v>
      </c>
      <c r="F11" s="5" t="n">
        <f aca="false">COUNTIFS(30_Modules!$C$5:$C$111,A11,30_Modules!$E$5:$E$111,"Active")</f>
        <v>5</v>
      </c>
      <c r="G11" s="5" t="n">
        <f aca="false">SUMIF(30_Modules!$C$5:$C$111,A11,30_Modules!$Y$5:$Y$111)</f>
        <v>4064</v>
      </c>
      <c r="H11" s="5" t="s">
        <v>436</v>
      </c>
      <c r="I11" s="5" t="s">
        <v>437</v>
      </c>
      <c r="J11" s="5" t="s">
        <v>438</v>
      </c>
    </row>
    <row r="12" customFormat="false" ht="23.85" hidden="false" customHeight="false" outlineLevel="0" collapsed="false">
      <c r="A12" s="5" t="s">
        <v>177</v>
      </c>
      <c r="B12" s="5" t="s">
        <v>439</v>
      </c>
      <c r="C12" s="5" t="s">
        <v>440</v>
      </c>
      <c r="D12" s="5" t="s">
        <v>441</v>
      </c>
      <c r="E12" s="5" t="n">
        <f aca="false">COUNTIF(30_Modules!$C$5:$C$111,A12)</f>
        <v>8</v>
      </c>
      <c r="F12" s="5" t="n">
        <f aca="false">COUNTIFS(30_Modules!$C$5:$C$111,A12,30_Modules!$E$5:$E$111,"Active")</f>
        <v>7</v>
      </c>
      <c r="G12" s="5" t="n">
        <f aca="false">SUMIF(30_Modules!$C$5:$C$111,A12,30_Modules!$Y$5:$Y$111)</f>
        <v>2224</v>
      </c>
      <c r="H12" s="5" t="s">
        <v>442</v>
      </c>
      <c r="I12" s="5" t="s">
        <v>443</v>
      </c>
      <c r="J12" s="5" t="s">
        <v>444</v>
      </c>
    </row>
    <row r="13" customFormat="false" ht="23.85" hidden="false" customHeight="false" outlineLevel="0" collapsed="false">
      <c r="A13" s="5" t="s">
        <v>265</v>
      </c>
      <c r="B13" s="5" t="s">
        <v>445</v>
      </c>
      <c r="C13" s="5" t="s">
        <v>446</v>
      </c>
      <c r="D13" s="5" t="s">
        <v>447</v>
      </c>
      <c r="E13" s="5" t="n">
        <f aca="false">COUNTIF(30_Modules!$C$5:$C$111,A13)</f>
        <v>2</v>
      </c>
      <c r="F13" s="5" t="n">
        <f aca="false">COUNTIFS(30_Modules!$C$5:$C$111,A13,30_Modules!$E$5:$E$111,"Active")</f>
        <v>1</v>
      </c>
      <c r="G13" s="5" t="n">
        <f aca="false">SUMIF(30_Modules!$C$5:$C$111,A13,30_Modules!$Y$5:$Y$111)</f>
        <v>1002</v>
      </c>
      <c r="H13" s="5" t="s">
        <v>448</v>
      </c>
      <c r="I13" s="5" t="s">
        <v>449</v>
      </c>
      <c r="J13" s="5" t="s">
        <v>450</v>
      </c>
    </row>
    <row r="14" customFormat="false" ht="46.25" hidden="false" customHeight="false" outlineLevel="0" collapsed="false">
      <c r="A14" s="5" t="s">
        <v>199</v>
      </c>
      <c r="B14" s="5" t="s">
        <v>451</v>
      </c>
      <c r="C14" s="5" t="s">
        <v>452</v>
      </c>
      <c r="D14" s="5" t="s">
        <v>453</v>
      </c>
      <c r="E14" s="5" t="n">
        <f aca="false">COUNTIF(30_Modules!$C$5:$C$111,A14)</f>
        <v>16</v>
      </c>
      <c r="F14" s="5" t="n">
        <f aca="false">COUNTIFS(30_Modules!$C$5:$C$111,A14,30_Modules!$E$5:$E$111,"Active")</f>
        <v>13</v>
      </c>
      <c r="G14" s="5" t="n">
        <f aca="false">SUMIF(30_Modules!$C$5:$C$111,A14,30_Modules!$Y$5:$Y$111)</f>
        <v>3558</v>
      </c>
      <c r="H14" s="5" t="s">
        <v>454</v>
      </c>
      <c r="I14" s="5" t="s">
        <v>455</v>
      </c>
      <c r="J14" s="5" t="s">
        <v>456</v>
      </c>
    </row>
    <row r="15" customFormat="false" ht="23.85" hidden="false" customHeight="false" outlineLevel="0" collapsed="false">
      <c r="A15" s="5" t="s">
        <v>303</v>
      </c>
      <c r="B15" s="5" t="s">
        <v>457</v>
      </c>
      <c r="C15" s="5" t="s">
        <v>458</v>
      </c>
      <c r="D15" s="5" t="s">
        <v>459</v>
      </c>
      <c r="E15" s="5" t="n">
        <f aca="false">COUNTIF(30_Modules!$C$5:$C$111,A15)</f>
        <v>1</v>
      </c>
      <c r="F15" s="5" t="n">
        <f aca="false">COUNTIFS(30_Modules!$C$5:$C$111,A15,30_Modules!$E$5:$E$111,"Active")</f>
        <v>1</v>
      </c>
      <c r="G15" s="5" t="n">
        <f aca="false">SUMIF(30_Modules!$C$5:$C$111,A15,30_Modules!$Y$5:$Y$111)</f>
        <v>2997</v>
      </c>
      <c r="H15" s="5" t="s">
        <v>301</v>
      </c>
      <c r="I15" s="5" t="s">
        <v>460</v>
      </c>
      <c r="J15" s="5" t="s">
        <v>461</v>
      </c>
    </row>
    <row r="16" customFormat="false" ht="23.85" hidden="false" customHeight="false" outlineLevel="0" collapsed="false">
      <c r="A16" s="5" t="s">
        <v>278</v>
      </c>
      <c r="B16" s="5" t="s">
        <v>462</v>
      </c>
      <c r="C16" s="5" t="s">
        <v>463</v>
      </c>
      <c r="D16" s="5" t="s">
        <v>464</v>
      </c>
      <c r="E16" s="5" t="n">
        <f aca="false">COUNTIF(30_Modules!$C$5:$C$111,A16)</f>
        <v>2</v>
      </c>
      <c r="F16" s="5" t="n">
        <f aca="false">COUNTIFS(30_Modules!$C$5:$C$111,A16,30_Modules!$E$5:$E$111,"Active")</f>
        <v>2</v>
      </c>
      <c r="G16" s="5" t="n">
        <f aca="false">SUMIF(30_Modules!$C$5:$C$111,A16,30_Modules!$Y$5:$Y$111)</f>
        <v>611</v>
      </c>
      <c r="H16" s="5" t="s">
        <v>465</v>
      </c>
      <c r="I16" s="5"/>
      <c r="J16" s="5"/>
    </row>
    <row r="17" customFormat="false" ht="23.85" hidden="false" customHeight="false" outlineLevel="0" collapsed="false">
      <c r="A17" s="5" t="s">
        <v>308</v>
      </c>
      <c r="B17" s="5" t="s">
        <v>466</v>
      </c>
      <c r="C17" s="5" t="s">
        <v>467</v>
      </c>
      <c r="D17" s="5" t="s">
        <v>468</v>
      </c>
      <c r="E17" s="5" t="n">
        <f aca="false">COUNTIF(30_Modules!$C$5:$C$111,A17)</f>
        <v>2</v>
      </c>
      <c r="F17" s="5" t="n">
        <f aca="false">COUNTIFS(30_Modules!$C$5:$C$111,A17,30_Modules!$E$5:$E$111,"Active")</f>
        <v>2</v>
      </c>
      <c r="G17" s="5" t="n">
        <f aca="false">SUMIF(30_Modules!$C$5:$C$111,A17,30_Modules!$Y$5:$Y$111)</f>
        <v>637</v>
      </c>
      <c r="H17" s="5" t="s">
        <v>469</v>
      </c>
      <c r="I17" s="5" t="s">
        <v>470</v>
      </c>
      <c r="J17" s="5" t="s">
        <v>471</v>
      </c>
    </row>
    <row r="18" customFormat="false" ht="23.85" hidden="false" customHeight="false" outlineLevel="0" collapsed="false">
      <c r="A18" s="5" t="s">
        <v>472</v>
      </c>
      <c r="B18" s="5" t="s">
        <v>473</v>
      </c>
      <c r="C18" s="5" t="s">
        <v>474</v>
      </c>
      <c r="D18" s="5" t="s">
        <v>475</v>
      </c>
      <c r="E18" s="5" t="n">
        <f aca="false">COUNTIF(30_Modules!$C$5:$C$111,A18)</f>
        <v>1</v>
      </c>
      <c r="F18" s="5" t="n">
        <f aca="false">COUNTIFS(30_Modules!$C$5:$C$111,A18,30_Modules!$E$5:$E$111,"Active")</f>
        <v>0</v>
      </c>
      <c r="G18" s="5" t="n">
        <f aca="false">SUMIF(30_Modules!$C$5:$C$111,A18,30_Modules!$Y$5:$Y$111)</f>
        <v>94</v>
      </c>
      <c r="H18" s="5" t="s">
        <v>476</v>
      </c>
      <c r="I18" s="5" t="s">
        <v>477</v>
      </c>
      <c r="J18" s="5" t="s">
        <v>478</v>
      </c>
    </row>
    <row r="19" customFormat="false" ht="23.85" hidden="false" customHeight="false" outlineLevel="0" collapsed="false">
      <c r="A19" s="5" t="s">
        <v>479</v>
      </c>
      <c r="B19" s="5" t="s">
        <v>480</v>
      </c>
      <c r="C19" s="5" t="s">
        <v>481</v>
      </c>
      <c r="D19" s="5" t="s">
        <v>482</v>
      </c>
      <c r="E19" s="5" t="n">
        <f aca="false">COUNTIF(30_Modules!$C$5:$C$111,A19)</f>
        <v>6</v>
      </c>
      <c r="F19" s="5" t="n">
        <f aca="false">COUNTIFS(30_Modules!$C$5:$C$111,A19,30_Modules!$E$5:$E$111,"Active")</f>
        <v>0</v>
      </c>
      <c r="G19" s="5" t="n">
        <f aca="false">SUMIF(30_Modules!$C$5:$C$111,A19,30_Modules!$Y$5:$Y$111)</f>
        <v>3860</v>
      </c>
      <c r="H19" s="5" t="s">
        <v>483</v>
      </c>
      <c r="I19" s="5" t="s">
        <v>484</v>
      </c>
      <c r="J19" s="5" t="s">
        <v>485</v>
      </c>
    </row>
    <row r="20" customFormat="false" ht="79.85" hidden="false" customHeight="false" outlineLevel="0" collapsed="false">
      <c r="A20" s="5" t="s">
        <v>486</v>
      </c>
      <c r="B20" s="5" t="s">
        <v>487</v>
      </c>
      <c r="C20" s="5" t="s">
        <v>488</v>
      </c>
      <c r="D20" s="5" t="s">
        <v>489</v>
      </c>
      <c r="E20" s="5" t="n">
        <f aca="false">COUNTIF(30_Modules!$C$5:$C$111,A20)</f>
        <v>28</v>
      </c>
      <c r="F20" s="5" t="n">
        <f aca="false">COUNTIFS(30_Modules!$C$5:$C$111,A20,30_Modules!$E$5:$E$111,"Active")</f>
        <v>0</v>
      </c>
      <c r="G20" s="5" t="n">
        <f aca="false">SUMIF(30_Modules!$C$5:$C$111,A20,30_Modules!$Y$5:$Y$111)</f>
        <v>20647</v>
      </c>
      <c r="H20" s="5" t="s">
        <v>490</v>
      </c>
      <c r="I20" s="5"/>
      <c r="J20" s="5"/>
    </row>
  </sheetData>
  <autoFilter ref="A4:J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9"/>
    <col collapsed="false" customWidth="true" hidden="false" outlineLevel="0" max="4" min="4" style="0" width="20"/>
    <col collapsed="false" customWidth="true" hidden="false" outlineLevel="0" max="5" min="5" style="0" width="22"/>
    <col collapsed="false" customWidth="true" hidden="false" outlineLevel="0" max="6" min="6" style="0" width="8"/>
    <col collapsed="false" customWidth="true" hidden="false" outlineLevel="0" max="7" min="7" style="0" width="22"/>
    <col collapsed="false" customWidth="true" hidden="false" outlineLevel="0" max="8" min="8" style="0" width="14"/>
    <col collapsed="false" customWidth="true" hidden="false" outlineLevel="0" max="9" min="9" style="0" width="60"/>
    <col collapsed="false" customWidth="true" hidden="false" outlineLevel="0" max="10" min="10" style="0" width="50"/>
    <col collapsed="false" customWidth="true" hidden="false" outlineLevel="0" max="14" min="11" style="0" width="30"/>
    <col collapsed="false" customWidth="true" hidden="false" outlineLevel="0" max="15" min="15" style="0" width="26"/>
    <col collapsed="false" customWidth="true" hidden="false" outlineLevel="0" max="16" min="16" style="0" width="18"/>
    <col collapsed="false" customWidth="true" hidden="false" outlineLevel="0" max="18" min="17" style="0" width="20"/>
    <col collapsed="false" customWidth="true" hidden="false" outlineLevel="0" max="19" min="19" style="0" width="30"/>
    <col collapsed="false" customWidth="true" hidden="false" outlineLevel="0" max="20" min="20" style="0" width="9"/>
    <col collapsed="false" customWidth="true" hidden="false" outlineLevel="0" max="22" min="21" style="0" width="8"/>
    <col collapsed="false" customWidth="true" hidden="false" outlineLevel="0" max="23" min="23" style="0" width="34"/>
    <col collapsed="false" customWidth="true" hidden="false" outlineLevel="0" max="24" min="24" style="0" width="14"/>
  </cols>
  <sheetData>
    <row r="1" customFormat="false" ht="17.35" hidden="false" customHeight="false" outlineLevel="0" collapsed="false">
      <c r="A1" s="9" t="s">
        <v>491</v>
      </c>
    </row>
    <row r="2" customFormat="false" ht="15" hidden="false" customHeight="false" outlineLevel="0" collapsed="false">
      <c r="A2" s="10" t="s">
        <v>492</v>
      </c>
    </row>
    <row r="4" customFormat="false" ht="30" hidden="false" customHeight="true" outlineLevel="0" collapsed="false">
      <c r="A4" s="12" t="s">
        <v>137</v>
      </c>
      <c r="B4" s="12" t="s">
        <v>138</v>
      </c>
      <c r="C4" s="12" t="s">
        <v>390</v>
      </c>
      <c r="D4" s="12" t="s">
        <v>139</v>
      </c>
      <c r="E4" s="12" t="s">
        <v>493</v>
      </c>
      <c r="F4" s="12" t="s">
        <v>494</v>
      </c>
      <c r="G4" s="12" t="s">
        <v>136</v>
      </c>
      <c r="H4" s="12" t="s">
        <v>495</v>
      </c>
      <c r="I4" s="12" t="s">
        <v>496</v>
      </c>
      <c r="J4" s="12" t="s">
        <v>497</v>
      </c>
      <c r="K4" s="12" t="s">
        <v>498</v>
      </c>
      <c r="L4" s="12" t="s">
        <v>499</v>
      </c>
      <c r="M4" s="12" t="s">
        <v>500</v>
      </c>
      <c r="N4" s="12" t="s">
        <v>501</v>
      </c>
      <c r="O4" s="12" t="s">
        <v>502</v>
      </c>
      <c r="P4" s="12" t="s">
        <v>503</v>
      </c>
      <c r="Q4" s="12" t="s">
        <v>504</v>
      </c>
      <c r="R4" s="12" t="s">
        <v>505</v>
      </c>
      <c r="S4" s="12" t="s">
        <v>506</v>
      </c>
      <c r="T4" s="12" t="s">
        <v>140</v>
      </c>
      <c r="U4" s="12" t="s">
        <v>507</v>
      </c>
      <c r="V4" s="12" t="s">
        <v>508</v>
      </c>
      <c r="W4" s="12" t="s">
        <v>509</v>
      </c>
      <c r="X4" s="12" t="s">
        <v>336</v>
      </c>
      <c r="Y4" s="3" t="s">
        <v>510</v>
      </c>
    </row>
    <row r="5" customFormat="false" ht="91" hidden="false" customHeight="false" outlineLevel="0" collapsed="false">
      <c r="A5" s="5" t="s">
        <v>401</v>
      </c>
      <c r="B5" s="5" t="s">
        <v>511</v>
      </c>
      <c r="C5" s="5" t="s">
        <v>397</v>
      </c>
      <c r="D5" s="5" t="s">
        <v>398</v>
      </c>
      <c r="E5" s="5" t="s">
        <v>512</v>
      </c>
      <c r="F5" s="5"/>
      <c r="G5" s="5"/>
      <c r="H5" s="5"/>
      <c r="I5" s="5" t="s">
        <v>513</v>
      </c>
      <c r="J5" s="5" t="s">
        <v>514</v>
      </c>
      <c r="K5" s="5"/>
      <c r="L5" s="5"/>
      <c r="M5" s="5"/>
      <c r="N5" s="5"/>
      <c r="O5" s="5"/>
      <c r="P5" s="5"/>
      <c r="Q5" s="5"/>
      <c r="R5" s="5"/>
      <c r="S5" s="5"/>
      <c r="T5" s="5"/>
      <c r="U5" s="5"/>
      <c r="V5" s="5" t="n">
        <v>5</v>
      </c>
      <c r="W5" s="5" t="s">
        <v>515</v>
      </c>
      <c r="X5" s="5"/>
      <c r="Y5" s="6" t="n">
        <v>179</v>
      </c>
    </row>
    <row r="6" customFormat="false" ht="102.2" hidden="false" customHeight="false" outlineLevel="0" collapsed="false">
      <c r="A6" s="5" t="s">
        <v>148</v>
      </c>
      <c r="B6" s="5" t="s">
        <v>149</v>
      </c>
      <c r="C6" s="5" t="s">
        <v>150</v>
      </c>
      <c r="D6" s="5" t="s">
        <v>417</v>
      </c>
      <c r="E6" s="5" t="s">
        <v>516</v>
      </c>
      <c r="F6" s="5" t="n">
        <v>2</v>
      </c>
      <c r="G6" s="5" t="s">
        <v>147</v>
      </c>
      <c r="H6" s="5"/>
      <c r="I6" s="5" t="s">
        <v>517</v>
      </c>
      <c r="J6" s="5" t="s">
        <v>518</v>
      </c>
      <c r="K6" s="5" t="s">
        <v>519</v>
      </c>
      <c r="L6" s="5"/>
      <c r="M6" s="5"/>
      <c r="N6" s="5" t="s">
        <v>520</v>
      </c>
      <c r="O6" s="5" t="s">
        <v>521</v>
      </c>
      <c r="P6" s="5"/>
      <c r="Q6" s="5"/>
      <c r="R6" s="5"/>
      <c r="S6" s="5"/>
      <c r="T6" s="5"/>
      <c r="U6" s="5"/>
      <c r="V6" s="5" t="n">
        <v>5</v>
      </c>
      <c r="W6" s="5" t="s">
        <v>522</v>
      </c>
      <c r="X6" s="5" t="s">
        <v>358</v>
      </c>
      <c r="Y6" s="6" t="n">
        <v>285</v>
      </c>
    </row>
    <row r="7" customFormat="false" ht="102.2" hidden="false" customHeight="false" outlineLevel="0" collapsed="false">
      <c r="A7" s="5" t="s">
        <v>202</v>
      </c>
      <c r="B7" s="5" t="s">
        <v>203</v>
      </c>
      <c r="C7" s="5" t="s">
        <v>199</v>
      </c>
      <c r="D7" s="5" t="s">
        <v>451</v>
      </c>
      <c r="E7" s="5" t="s">
        <v>516</v>
      </c>
      <c r="F7" s="5" t="n">
        <v>14</v>
      </c>
      <c r="G7" s="5" t="s">
        <v>201</v>
      </c>
      <c r="H7" s="5"/>
      <c r="I7" s="5" t="s">
        <v>523</v>
      </c>
      <c r="J7" s="5" t="s">
        <v>524</v>
      </c>
      <c r="K7" s="5" t="s">
        <v>525</v>
      </c>
      <c r="L7" s="5"/>
      <c r="M7" s="5"/>
      <c r="N7" s="5" t="s">
        <v>196</v>
      </c>
      <c r="O7" s="5"/>
      <c r="P7" s="5"/>
      <c r="Q7" s="5"/>
      <c r="R7" s="5"/>
      <c r="S7" s="5"/>
      <c r="T7" s="5" t="s">
        <v>182</v>
      </c>
      <c r="U7" s="5"/>
      <c r="V7" s="5" t="n">
        <v>1</v>
      </c>
      <c r="W7" s="5" t="s">
        <v>526</v>
      </c>
      <c r="X7" s="5"/>
      <c r="Y7" s="6" t="n">
        <v>130</v>
      </c>
    </row>
    <row r="8" customFormat="false" ht="102.2" hidden="false" customHeight="false" outlineLevel="0" collapsed="false">
      <c r="A8" s="5" t="s">
        <v>226</v>
      </c>
      <c r="B8" s="5" t="s">
        <v>227</v>
      </c>
      <c r="C8" s="5" t="s">
        <v>199</v>
      </c>
      <c r="D8" s="5" t="s">
        <v>451</v>
      </c>
      <c r="E8" s="5" t="s">
        <v>516</v>
      </c>
      <c r="F8" s="5" t="n">
        <v>20</v>
      </c>
      <c r="G8" s="5" t="s">
        <v>225</v>
      </c>
      <c r="H8" s="5"/>
      <c r="I8" s="5" t="s">
        <v>527</v>
      </c>
      <c r="J8" s="5" t="s">
        <v>528</v>
      </c>
      <c r="K8" s="5" t="s">
        <v>525</v>
      </c>
      <c r="L8" s="5"/>
      <c r="M8" s="5"/>
      <c r="N8" s="5" t="s">
        <v>196</v>
      </c>
      <c r="O8" s="5"/>
      <c r="P8" s="5"/>
      <c r="Q8" s="5"/>
      <c r="R8" s="5"/>
      <c r="S8" s="5"/>
      <c r="T8" s="5" t="s">
        <v>182</v>
      </c>
      <c r="U8" s="5"/>
      <c r="V8" s="5" t="n">
        <v>1</v>
      </c>
      <c r="W8" s="5" t="s">
        <v>526</v>
      </c>
      <c r="X8" s="5"/>
      <c r="Y8" s="6" t="n">
        <v>156</v>
      </c>
    </row>
    <row r="9" customFormat="false" ht="46.25" hidden="false" customHeight="false" outlineLevel="0" collapsed="false">
      <c r="A9" s="5" t="s">
        <v>214</v>
      </c>
      <c r="B9" s="5" t="s">
        <v>215</v>
      </c>
      <c r="C9" s="5" t="s">
        <v>199</v>
      </c>
      <c r="D9" s="5" t="s">
        <v>451</v>
      </c>
      <c r="E9" s="5" t="s">
        <v>516</v>
      </c>
      <c r="F9" s="5" t="n">
        <v>17</v>
      </c>
      <c r="G9" s="5" t="s">
        <v>213</v>
      </c>
      <c r="H9" s="5"/>
      <c r="I9" s="5" t="s">
        <v>529</v>
      </c>
      <c r="J9" s="5" t="s">
        <v>530</v>
      </c>
      <c r="K9" s="5" t="s">
        <v>525</v>
      </c>
      <c r="L9" s="5"/>
      <c r="M9" s="5"/>
      <c r="N9" s="5" t="s">
        <v>196</v>
      </c>
      <c r="O9" s="5"/>
      <c r="P9" s="5"/>
      <c r="Q9" s="5"/>
      <c r="R9" s="5"/>
      <c r="S9" s="5"/>
      <c r="T9" s="5" t="s">
        <v>182</v>
      </c>
      <c r="U9" s="5"/>
      <c r="V9" s="5" t="n">
        <v>1</v>
      </c>
      <c r="W9" s="5" t="s">
        <v>526</v>
      </c>
      <c r="X9" s="5"/>
      <c r="Y9" s="6" t="n">
        <v>142</v>
      </c>
    </row>
    <row r="10" customFormat="false" ht="68.65" hidden="false" customHeight="false" outlineLevel="0" collapsed="false">
      <c r="A10" s="5" t="s">
        <v>210</v>
      </c>
      <c r="B10" s="5" t="s">
        <v>211</v>
      </c>
      <c r="C10" s="5" t="s">
        <v>199</v>
      </c>
      <c r="D10" s="5" t="s">
        <v>451</v>
      </c>
      <c r="E10" s="5" t="s">
        <v>516</v>
      </c>
      <c r="F10" s="5" t="n">
        <v>16</v>
      </c>
      <c r="G10" s="5" t="s">
        <v>209</v>
      </c>
      <c r="H10" s="5"/>
      <c r="I10" s="5" t="s">
        <v>531</v>
      </c>
      <c r="J10" s="5" t="s">
        <v>532</v>
      </c>
      <c r="K10" s="5" t="s">
        <v>525</v>
      </c>
      <c r="L10" s="5"/>
      <c r="M10" s="5"/>
      <c r="N10" s="5" t="s">
        <v>196</v>
      </c>
      <c r="O10" s="5"/>
      <c r="P10" s="5"/>
      <c r="Q10" s="5"/>
      <c r="R10" s="5"/>
      <c r="S10" s="5"/>
      <c r="T10" s="5" t="s">
        <v>182</v>
      </c>
      <c r="U10" s="5"/>
      <c r="V10" s="5" t="n">
        <v>1</v>
      </c>
      <c r="W10" s="5" t="s">
        <v>526</v>
      </c>
      <c r="X10" s="5"/>
      <c r="Y10" s="6" t="n">
        <v>120</v>
      </c>
    </row>
    <row r="11" customFormat="false" ht="57.45" hidden="false" customHeight="false" outlineLevel="0" collapsed="false">
      <c r="A11" s="5" t="s">
        <v>218</v>
      </c>
      <c r="B11" s="5" t="s">
        <v>219</v>
      </c>
      <c r="C11" s="5" t="s">
        <v>199</v>
      </c>
      <c r="D11" s="5" t="s">
        <v>451</v>
      </c>
      <c r="E11" s="5" t="s">
        <v>516</v>
      </c>
      <c r="F11" s="5" t="n">
        <v>18</v>
      </c>
      <c r="G11" s="5" t="s">
        <v>217</v>
      </c>
      <c r="H11" s="5" t="s">
        <v>533</v>
      </c>
      <c r="I11" s="5" t="s">
        <v>534</v>
      </c>
      <c r="J11" s="5" t="s">
        <v>535</v>
      </c>
      <c r="K11" s="5" t="s">
        <v>525</v>
      </c>
      <c r="L11" s="5"/>
      <c r="M11" s="5"/>
      <c r="N11" s="5" t="s">
        <v>536</v>
      </c>
      <c r="O11" s="5"/>
      <c r="P11" s="5"/>
      <c r="Q11" s="5"/>
      <c r="R11" s="5"/>
      <c r="S11" s="5"/>
      <c r="T11" s="5" t="s">
        <v>182</v>
      </c>
      <c r="U11" s="5"/>
      <c r="V11" s="5" t="n">
        <v>1</v>
      </c>
      <c r="W11" s="5" t="s">
        <v>526</v>
      </c>
      <c r="X11" s="5"/>
      <c r="Y11" s="6" t="n">
        <v>135</v>
      </c>
    </row>
    <row r="12" customFormat="false" ht="35.05" hidden="false" customHeight="false" outlineLevel="0" collapsed="false">
      <c r="A12" s="5" t="s">
        <v>222</v>
      </c>
      <c r="B12" s="5" t="s">
        <v>223</v>
      </c>
      <c r="C12" s="5" t="s">
        <v>199</v>
      </c>
      <c r="D12" s="5" t="s">
        <v>451</v>
      </c>
      <c r="E12" s="5" t="s">
        <v>516</v>
      </c>
      <c r="F12" s="5" t="n">
        <v>19</v>
      </c>
      <c r="G12" s="5" t="s">
        <v>221</v>
      </c>
      <c r="H12" s="5"/>
      <c r="I12" s="5" t="s">
        <v>537</v>
      </c>
      <c r="J12" s="5" t="s">
        <v>538</v>
      </c>
      <c r="K12" s="5" t="s">
        <v>525</v>
      </c>
      <c r="L12" s="5"/>
      <c r="M12" s="5"/>
      <c r="N12" s="5" t="s">
        <v>196</v>
      </c>
      <c r="O12" s="5"/>
      <c r="P12" s="5"/>
      <c r="Q12" s="5"/>
      <c r="R12" s="5"/>
      <c r="S12" s="5"/>
      <c r="T12" s="5" t="s">
        <v>182</v>
      </c>
      <c r="U12" s="5"/>
      <c r="V12" s="5" t="n">
        <v>1</v>
      </c>
      <c r="W12" s="5" t="s">
        <v>526</v>
      </c>
      <c r="X12" s="5"/>
      <c r="Y12" s="6" t="n">
        <v>92</v>
      </c>
    </row>
    <row r="13" customFormat="false" ht="102.2" hidden="false" customHeight="false" outlineLevel="0" collapsed="false">
      <c r="A13" s="5" t="s">
        <v>206</v>
      </c>
      <c r="B13" s="5" t="s">
        <v>207</v>
      </c>
      <c r="C13" s="5" t="s">
        <v>199</v>
      </c>
      <c r="D13" s="5" t="s">
        <v>451</v>
      </c>
      <c r="E13" s="5" t="s">
        <v>516</v>
      </c>
      <c r="F13" s="5" t="n">
        <v>15</v>
      </c>
      <c r="G13" s="5" t="s">
        <v>205</v>
      </c>
      <c r="H13" s="5"/>
      <c r="I13" s="5" t="s">
        <v>539</v>
      </c>
      <c r="J13" s="5" t="s">
        <v>540</v>
      </c>
      <c r="K13" s="5" t="s">
        <v>525</v>
      </c>
      <c r="L13" s="5"/>
      <c r="M13" s="5"/>
      <c r="N13" s="5" t="s">
        <v>196</v>
      </c>
      <c r="O13" s="5"/>
      <c r="P13" s="5"/>
      <c r="Q13" s="5"/>
      <c r="R13" s="5"/>
      <c r="S13" s="5"/>
      <c r="T13" s="5" t="s">
        <v>182</v>
      </c>
      <c r="U13" s="5"/>
      <c r="V13" s="5" t="n">
        <v>1</v>
      </c>
      <c r="W13" s="5" t="s">
        <v>526</v>
      </c>
      <c r="X13" s="5"/>
      <c r="Y13" s="6" t="n">
        <v>129</v>
      </c>
    </row>
    <row r="14" customFormat="false" ht="102.2" hidden="false" customHeight="false" outlineLevel="0" collapsed="false">
      <c r="A14" s="5" t="s">
        <v>289</v>
      </c>
      <c r="B14" s="5" t="s">
        <v>290</v>
      </c>
      <c r="C14" s="5" t="s">
        <v>155</v>
      </c>
      <c r="D14" s="5" t="s">
        <v>429</v>
      </c>
      <c r="E14" s="5" t="s">
        <v>516</v>
      </c>
      <c r="F14" s="5" t="n">
        <v>35</v>
      </c>
      <c r="G14" s="5" t="s">
        <v>288</v>
      </c>
      <c r="H14" s="5" t="s">
        <v>533</v>
      </c>
      <c r="I14" s="5" t="s">
        <v>541</v>
      </c>
      <c r="J14" s="5" t="s">
        <v>542</v>
      </c>
      <c r="K14" s="5" t="s">
        <v>543</v>
      </c>
      <c r="L14" s="5"/>
      <c r="M14" s="5" t="s">
        <v>544</v>
      </c>
      <c r="N14" s="5" t="s">
        <v>545</v>
      </c>
      <c r="O14" s="5"/>
      <c r="P14" s="5"/>
      <c r="Q14" s="5"/>
      <c r="R14" s="5"/>
      <c r="S14" s="5"/>
      <c r="T14" s="5" t="s">
        <v>182</v>
      </c>
      <c r="U14" s="5"/>
      <c r="V14" s="5" t="n">
        <v>2</v>
      </c>
      <c r="W14" s="5" t="s">
        <v>546</v>
      </c>
      <c r="X14" s="5"/>
      <c r="Y14" s="6" t="n">
        <v>254</v>
      </c>
    </row>
    <row r="15" customFormat="false" ht="102.2" hidden="false" customHeight="false" outlineLevel="0" collapsed="false">
      <c r="A15" s="5" t="s">
        <v>175</v>
      </c>
      <c r="B15" s="5" t="s">
        <v>176</v>
      </c>
      <c r="C15" s="5" t="s">
        <v>177</v>
      </c>
      <c r="D15" s="5" t="s">
        <v>439</v>
      </c>
      <c r="E15" s="5" t="s">
        <v>516</v>
      </c>
      <c r="F15" s="5" t="n">
        <v>8</v>
      </c>
      <c r="G15" s="5" t="s">
        <v>174</v>
      </c>
      <c r="H15" s="5" t="s">
        <v>547</v>
      </c>
      <c r="I15" s="5" t="s">
        <v>548</v>
      </c>
      <c r="J15" s="5" t="s">
        <v>549</v>
      </c>
      <c r="K15" s="5" t="s">
        <v>550</v>
      </c>
      <c r="L15" s="5"/>
      <c r="M15" s="5" t="s">
        <v>551</v>
      </c>
      <c r="N15" s="5" t="s">
        <v>552</v>
      </c>
      <c r="O15" s="5"/>
      <c r="P15" s="5"/>
      <c r="Q15" s="5"/>
      <c r="R15" s="5"/>
      <c r="S15" s="5" t="s">
        <v>553</v>
      </c>
      <c r="T15" s="5"/>
      <c r="U15" s="5"/>
      <c r="V15" s="5" t="n">
        <v>17</v>
      </c>
      <c r="W15" s="5" t="s">
        <v>554</v>
      </c>
      <c r="X15" s="5" t="s">
        <v>443</v>
      </c>
      <c r="Y15" s="6" t="n">
        <v>729</v>
      </c>
    </row>
    <row r="16" customFormat="false" ht="124.6" hidden="false" customHeight="false" outlineLevel="0" collapsed="false">
      <c r="A16" s="5" t="s">
        <v>268</v>
      </c>
      <c r="B16" s="5" t="s">
        <v>269</v>
      </c>
      <c r="C16" s="5" t="s">
        <v>199</v>
      </c>
      <c r="D16" s="5" t="s">
        <v>451</v>
      </c>
      <c r="E16" s="5" t="s">
        <v>516</v>
      </c>
      <c r="F16" s="5" t="n">
        <v>30</v>
      </c>
      <c r="G16" s="5" t="s">
        <v>267</v>
      </c>
      <c r="H16" s="5" t="s">
        <v>555</v>
      </c>
      <c r="I16" s="5" t="s">
        <v>556</v>
      </c>
      <c r="J16" s="5" t="s">
        <v>557</v>
      </c>
      <c r="K16" s="5" t="s">
        <v>525</v>
      </c>
      <c r="L16" s="5"/>
      <c r="M16" s="5" t="s">
        <v>558</v>
      </c>
      <c r="N16" s="5" t="s">
        <v>559</v>
      </c>
      <c r="O16" s="5"/>
      <c r="P16" s="5"/>
      <c r="Q16" s="5"/>
      <c r="R16" s="5"/>
      <c r="S16" s="5"/>
      <c r="T16" s="5" t="s">
        <v>182</v>
      </c>
      <c r="U16" s="5"/>
      <c r="V16" s="5" t="n">
        <v>2</v>
      </c>
      <c r="W16" s="5" t="s">
        <v>546</v>
      </c>
      <c r="X16" s="5"/>
      <c r="Y16" s="6" t="n">
        <v>400</v>
      </c>
    </row>
    <row r="17" customFormat="false" ht="102.2" hidden="false" customHeight="false" outlineLevel="0" collapsed="false">
      <c r="A17" s="5" t="s">
        <v>230</v>
      </c>
      <c r="B17" s="5" t="s">
        <v>231</v>
      </c>
      <c r="C17" s="5" t="s">
        <v>168</v>
      </c>
      <c r="D17" s="5" t="s">
        <v>433</v>
      </c>
      <c r="E17" s="5" t="s">
        <v>516</v>
      </c>
      <c r="F17" s="5" t="n">
        <v>21</v>
      </c>
      <c r="G17" s="5" t="s">
        <v>229</v>
      </c>
      <c r="H17" s="5" t="s">
        <v>560</v>
      </c>
      <c r="I17" s="5" t="s">
        <v>561</v>
      </c>
      <c r="J17" s="5" t="s">
        <v>562</v>
      </c>
      <c r="K17" s="5" t="s">
        <v>563</v>
      </c>
      <c r="L17" s="5"/>
      <c r="M17" s="5"/>
      <c r="N17" s="5" t="s">
        <v>564</v>
      </c>
      <c r="O17" s="5"/>
      <c r="P17" s="5"/>
      <c r="Q17" s="5"/>
      <c r="R17" s="5"/>
      <c r="S17" s="5"/>
      <c r="T17" s="5" t="s">
        <v>182</v>
      </c>
      <c r="U17" s="5"/>
      <c r="V17" s="5" t="n">
        <v>4</v>
      </c>
      <c r="W17" s="5" t="s">
        <v>565</v>
      </c>
      <c r="X17" s="5"/>
      <c r="Y17" s="6" t="n">
        <v>436</v>
      </c>
    </row>
    <row r="18" customFormat="false" ht="102.2" hidden="false" customHeight="false" outlineLevel="0" collapsed="false">
      <c r="A18" s="5" t="s">
        <v>171</v>
      </c>
      <c r="B18" s="5" t="s">
        <v>172</v>
      </c>
      <c r="C18" s="5" t="s">
        <v>155</v>
      </c>
      <c r="D18" s="5" t="s">
        <v>429</v>
      </c>
      <c r="E18" s="5" t="s">
        <v>516</v>
      </c>
      <c r="F18" s="5" t="n">
        <v>7</v>
      </c>
      <c r="G18" s="5" t="s">
        <v>170</v>
      </c>
      <c r="H18" s="5" t="s">
        <v>533</v>
      </c>
      <c r="I18" s="5" t="s">
        <v>566</v>
      </c>
      <c r="J18" s="5" t="s">
        <v>567</v>
      </c>
      <c r="K18" s="5" t="s">
        <v>525</v>
      </c>
      <c r="L18" s="5"/>
      <c r="M18" s="5" t="s">
        <v>568</v>
      </c>
      <c r="N18" s="5" t="s">
        <v>569</v>
      </c>
      <c r="O18" s="5"/>
      <c r="P18" s="5"/>
      <c r="Q18" s="5"/>
      <c r="R18" s="5"/>
      <c r="S18" s="5"/>
      <c r="T18" s="5"/>
      <c r="U18" s="5"/>
      <c r="V18" s="5" t="n">
        <v>8</v>
      </c>
      <c r="W18" s="5" t="s">
        <v>570</v>
      </c>
      <c r="X18" s="5"/>
      <c r="Y18" s="6" t="n">
        <v>303</v>
      </c>
    </row>
    <row r="19" customFormat="false" ht="102.2" hidden="false" customHeight="false" outlineLevel="0" collapsed="false">
      <c r="A19" s="5" t="s">
        <v>180</v>
      </c>
      <c r="B19" s="5" t="s">
        <v>181</v>
      </c>
      <c r="C19" s="5" t="s">
        <v>177</v>
      </c>
      <c r="D19" s="5" t="s">
        <v>439</v>
      </c>
      <c r="E19" s="5" t="s">
        <v>516</v>
      </c>
      <c r="F19" s="5" t="n">
        <v>9</v>
      </c>
      <c r="G19" s="5" t="s">
        <v>179</v>
      </c>
      <c r="H19" s="5" t="s">
        <v>547</v>
      </c>
      <c r="I19" s="5" t="s">
        <v>571</v>
      </c>
      <c r="J19" s="5" t="s">
        <v>572</v>
      </c>
      <c r="K19" s="5" t="s">
        <v>525</v>
      </c>
      <c r="L19" s="5" t="s">
        <v>242</v>
      </c>
      <c r="M19" s="5" t="s">
        <v>573</v>
      </c>
      <c r="N19" s="5" t="s">
        <v>574</v>
      </c>
      <c r="O19" s="5"/>
      <c r="P19" s="5"/>
      <c r="Q19" s="5"/>
      <c r="R19" s="5"/>
      <c r="S19" s="5"/>
      <c r="T19" s="5" t="s">
        <v>182</v>
      </c>
      <c r="U19" s="5"/>
      <c r="V19" s="5" t="n">
        <v>11</v>
      </c>
      <c r="W19" s="5" t="s">
        <v>546</v>
      </c>
      <c r="X19" s="5"/>
      <c r="Y19" s="6" t="n">
        <v>558</v>
      </c>
    </row>
    <row r="20" customFormat="false" ht="113.4" hidden="false" customHeight="false" outlineLevel="0" collapsed="false">
      <c r="A20" s="5" t="s">
        <v>276</v>
      </c>
      <c r="B20" s="5" t="s">
        <v>277</v>
      </c>
      <c r="C20" s="5" t="s">
        <v>278</v>
      </c>
      <c r="D20" s="5" t="s">
        <v>462</v>
      </c>
      <c r="E20" s="5" t="s">
        <v>516</v>
      </c>
      <c r="F20" s="5" t="n">
        <v>32</v>
      </c>
      <c r="G20" s="5" t="s">
        <v>275</v>
      </c>
      <c r="H20" s="5" t="s">
        <v>547</v>
      </c>
      <c r="I20" s="5" t="s">
        <v>575</v>
      </c>
      <c r="J20" s="5" t="s">
        <v>576</v>
      </c>
      <c r="K20" s="5" t="s">
        <v>577</v>
      </c>
      <c r="L20" s="5"/>
      <c r="M20" s="5" t="s">
        <v>578</v>
      </c>
      <c r="N20" s="5" t="s">
        <v>579</v>
      </c>
      <c r="O20" s="5" t="s">
        <v>580</v>
      </c>
      <c r="P20" s="5"/>
      <c r="Q20" s="5"/>
      <c r="R20" s="5"/>
      <c r="S20" s="5"/>
      <c r="T20" s="5"/>
      <c r="U20" s="5"/>
      <c r="V20" s="5" t="n">
        <v>4</v>
      </c>
      <c r="W20" s="5" t="s">
        <v>581</v>
      </c>
      <c r="X20" s="5"/>
      <c r="Y20" s="6" t="n">
        <v>373</v>
      </c>
    </row>
    <row r="21" customFormat="false" ht="91" hidden="false" customHeight="false" outlineLevel="0" collapsed="false">
      <c r="A21" s="5" t="s">
        <v>285</v>
      </c>
      <c r="B21" s="5" t="s">
        <v>286</v>
      </c>
      <c r="C21" s="5" t="s">
        <v>177</v>
      </c>
      <c r="D21" s="5" t="s">
        <v>439</v>
      </c>
      <c r="E21" s="5" t="s">
        <v>516</v>
      </c>
      <c r="F21" s="5" t="n">
        <v>34</v>
      </c>
      <c r="G21" s="5" t="s">
        <v>284</v>
      </c>
      <c r="H21" s="5" t="s">
        <v>547</v>
      </c>
      <c r="I21" s="5" t="s">
        <v>582</v>
      </c>
      <c r="J21" s="5" t="s">
        <v>583</v>
      </c>
      <c r="K21" s="5"/>
      <c r="L21" s="5"/>
      <c r="M21" s="5"/>
      <c r="N21" s="5" t="s">
        <v>584</v>
      </c>
      <c r="O21" s="5"/>
      <c r="P21" s="5"/>
      <c r="Q21" s="5"/>
      <c r="R21" s="5"/>
      <c r="S21" s="5"/>
      <c r="T21" s="5" t="s">
        <v>182</v>
      </c>
      <c r="U21" s="5"/>
      <c r="V21" s="5" t="n">
        <v>1</v>
      </c>
      <c r="W21" s="5" t="s">
        <v>526</v>
      </c>
      <c r="X21" s="5"/>
      <c r="Y21" s="6" t="n">
        <v>127</v>
      </c>
    </row>
    <row r="22" customFormat="false" ht="102.2" hidden="false" customHeight="false" outlineLevel="0" collapsed="false">
      <c r="A22" s="5" t="s">
        <v>281</v>
      </c>
      <c r="B22" s="5" t="s">
        <v>282</v>
      </c>
      <c r="C22" s="5" t="s">
        <v>155</v>
      </c>
      <c r="D22" s="5" t="s">
        <v>429</v>
      </c>
      <c r="E22" s="5" t="s">
        <v>516</v>
      </c>
      <c r="F22" s="5" t="n">
        <v>33</v>
      </c>
      <c r="G22" s="5" t="s">
        <v>280</v>
      </c>
      <c r="H22" s="5" t="s">
        <v>533</v>
      </c>
      <c r="I22" s="5" t="s">
        <v>585</v>
      </c>
      <c r="J22" s="5" t="s">
        <v>586</v>
      </c>
      <c r="K22" s="5" t="s">
        <v>577</v>
      </c>
      <c r="L22" s="5"/>
      <c r="M22" s="5"/>
      <c r="N22" s="5"/>
      <c r="O22" s="5" t="s">
        <v>587</v>
      </c>
      <c r="P22" s="5"/>
      <c r="Q22" s="5"/>
      <c r="R22" s="5"/>
      <c r="S22" s="5"/>
      <c r="T22" s="5"/>
      <c r="U22" s="5"/>
      <c r="V22" s="5" t="n">
        <v>2</v>
      </c>
      <c r="W22" s="5" t="s">
        <v>588</v>
      </c>
      <c r="X22" s="5"/>
      <c r="Y22" s="6" t="n">
        <v>181</v>
      </c>
    </row>
    <row r="23" customFormat="false" ht="113.4" hidden="false" customHeight="false" outlineLevel="0" collapsed="false">
      <c r="A23" s="5" t="s">
        <v>162</v>
      </c>
      <c r="B23" s="5" t="s">
        <v>163</v>
      </c>
      <c r="C23" s="5" t="s">
        <v>155</v>
      </c>
      <c r="D23" s="5" t="s">
        <v>429</v>
      </c>
      <c r="E23" s="5" t="s">
        <v>516</v>
      </c>
      <c r="F23" s="5" t="n">
        <v>5</v>
      </c>
      <c r="G23" s="5" t="s">
        <v>161</v>
      </c>
      <c r="H23" s="5" t="s">
        <v>555</v>
      </c>
      <c r="I23" s="5" t="s">
        <v>589</v>
      </c>
      <c r="J23" s="5" t="s">
        <v>590</v>
      </c>
      <c r="K23" s="5" t="s">
        <v>525</v>
      </c>
      <c r="L23" s="5"/>
      <c r="M23" s="5" t="s">
        <v>591</v>
      </c>
      <c r="N23" s="5" t="s">
        <v>592</v>
      </c>
      <c r="O23" s="5"/>
      <c r="P23" s="5"/>
      <c r="Q23" s="5"/>
      <c r="R23" s="5"/>
      <c r="S23" s="5"/>
      <c r="T23" s="5"/>
      <c r="U23" s="5"/>
      <c r="V23" s="5" t="n">
        <v>13</v>
      </c>
      <c r="W23" s="5" t="s">
        <v>593</v>
      </c>
      <c r="X23" s="5"/>
      <c r="Y23" s="6" t="n">
        <v>504</v>
      </c>
    </row>
    <row r="24" customFormat="false" ht="102.2" hidden="false" customHeight="false" outlineLevel="0" collapsed="false">
      <c r="A24" s="5" t="s">
        <v>315</v>
      </c>
      <c r="B24" s="5" t="s">
        <v>316</v>
      </c>
      <c r="C24" s="5" t="s">
        <v>168</v>
      </c>
      <c r="D24" s="5" t="s">
        <v>433</v>
      </c>
      <c r="E24" s="5" t="s">
        <v>516</v>
      </c>
      <c r="F24" s="5" t="n">
        <v>41</v>
      </c>
      <c r="G24" s="5" t="s">
        <v>314</v>
      </c>
      <c r="H24" s="5"/>
      <c r="I24" s="5" t="s">
        <v>594</v>
      </c>
      <c r="J24" s="5" t="s">
        <v>595</v>
      </c>
      <c r="K24" s="5" t="s">
        <v>563</v>
      </c>
      <c r="L24" s="5"/>
      <c r="M24" s="5" t="s">
        <v>596</v>
      </c>
      <c r="N24" s="5"/>
      <c r="O24" s="5"/>
      <c r="P24" s="5"/>
      <c r="Q24" s="5"/>
      <c r="R24" s="5"/>
      <c r="S24" s="5"/>
      <c r="T24" s="5"/>
      <c r="U24" s="5"/>
      <c r="V24" s="5" t="n">
        <v>4</v>
      </c>
      <c r="W24" s="5" t="s">
        <v>565</v>
      </c>
      <c r="X24" s="5"/>
      <c r="Y24" s="6" t="n">
        <v>301</v>
      </c>
    </row>
    <row r="25" customFormat="false" ht="113.4" hidden="false" customHeight="false" outlineLevel="0" collapsed="false">
      <c r="A25" s="5" t="s">
        <v>166</v>
      </c>
      <c r="B25" s="5" t="s">
        <v>167</v>
      </c>
      <c r="C25" s="5" t="s">
        <v>168</v>
      </c>
      <c r="D25" s="5" t="s">
        <v>433</v>
      </c>
      <c r="E25" s="5" t="s">
        <v>516</v>
      </c>
      <c r="F25" s="5" t="n">
        <v>6</v>
      </c>
      <c r="G25" s="5" t="s">
        <v>165</v>
      </c>
      <c r="H25" s="5"/>
      <c r="I25" s="5" t="s">
        <v>597</v>
      </c>
      <c r="J25" s="5" t="s">
        <v>598</v>
      </c>
      <c r="K25" s="5" t="s">
        <v>563</v>
      </c>
      <c r="L25" s="5"/>
      <c r="M25" s="5" t="s">
        <v>599</v>
      </c>
      <c r="N25" s="5" t="s">
        <v>600</v>
      </c>
      <c r="O25" s="5"/>
      <c r="P25" s="5"/>
      <c r="Q25" s="5"/>
      <c r="R25" s="5"/>
      <c r="S25" s="5"/>
      <c r="T25" s="5"/>
      <c r="U25" s="5"/>
      <c r="V25" s="5" t="n">
        <v>17</v>
      </c>
      <c r="W25" s="5" t="s">
        <v>601</v>
      </c>
      <c r="X25" s="5" t="s">
        <v>602</v>
      </c>
      <c r="Y25" s="6" t="n">
        <v>1730</v>
      </c>
    </row>
    <row r="26" customFormat="false" ht="102.2" hidden="false" customHeight="false" outlineLevel="0" collapsed="false">
      <c r="A26" s="5" t="s">
        <v>272</v>
      </c>
      <c r="B26" s="5" t="s">
        <v>273</v>
      </c>
      <c r="C26" s="5" t="s">
        <v>168</v>
      </c>
      <c r="D26" s="5" t="s">
        <v>433</v>
      </c>
      <c r="E26" s="5" t="s">
        <v>516</v>
      </c>
      <c r="F26" s="5" t="n">
        <v>31</v>
      </c>
      <c r="G26" s="5" t="s">
        <v>271</v>
      </c>
      <c r="H26" s="5" t="s">
        <v>560</v>
      </c>
      <c r="I26" s="5" t="s">
        <v>603</v>
      </c>
      <c r="J26" s="5" t="s">
        <v>604</v>
      </c>
      <c r="K26" s="5" t="s">
        <v>525</v>
      </c>
      <c r="L26" s="5"/>
      <c r="M26" s="5"/>
      <c r="N26" s="5" t="s">
        <v>605</v>
      </c>
      <c r="O26" s="5"/>
      <c r="P26" s="5"/>
      <c r="Q26" s="5"/>
      <c r="R26" s="5"/>
      <c r="S26" s="5"/>
      <c r="T26" s="5"/>
      <c r="U26" s="5"/>
      <c r="V26" s="5" t="n">
        <v>4</v>
      </c>
      <c r="W26" s="5" t="s">
        <v>546</v>
      </c>
      <c r="X26" s="5"/>
      <c r="Y26" s="6" t="n">
        <v>197</v>
      </c>
    </row>
    <row r="27" customFormat="false" ht="147" hidden="false" customHeight="false" outlineLevel="0" collapsed="false">
      <c r="A27" s="5" t="s">
        <v>301</v>
      </c>
      <c r="B27" s="5" t="s">
        <v>302</v>
      </c>
      <c r="C27" s="5" t="s">
        <v>303</v>
      </c>
      <c r="D27" s="5" t="s">
        <v>457</v>
      </c>
      <c r="E27" s="5" t="s">
        <v>516</v>
      </c>
      <c r="F27" s="5" t="n">
        <v>38</v>
      </c>
      <c r="G27" s="5" t="s">
        <v>300</v>
      </c>
      <c r="H27" s="5"/>
      <c r="I27" s="5" t="s">
        <v>606</v>
      </c>
      <c r="J27" s="5" t="s">
        <v>607</v>
      </c>
      <c r="K27" s="5" t="s">
        <v>608</v>
      </c>
      <c r="L27" s="5"/>
      <c r="M27" s="5" t="s">
        <v>609</v>
      </c>
      <c r="N27" s="5" t="s">
        <v>610</v>
      </c>
      <c r="O27" s="5"/>
      <c r="P27" s="5"/>
      <c r="Q27" s="5"/>
      <c r="R27" s="5"/>
      <c r="S27" s="5"/>
      <c r="T27" s="5"/>
      <c r="U27" s="5"/>
      <c r="V27" s="5" t="n">
        <v>39</v>
      </c>
      <c r="W27" s="5" t="s">
        <v>611</v>
      </c>
      <c r="X27" s="5" t="s">
        <v>612</v>
      </c>
      <c r="Y27" s="6" t="n">
        <v>2997</v>
      </c>
    </row>
    <row r="28" customFormat="false" ht="102.2" hidden="false" customHeight="false" outlineLevel="0" collapsed="false">
      <c r="A28" s="5" t="s">
        <v>613</v>
      </c>
      <c r="B28" s="5" t="s">
        <v>614</v>
      </c>
      <c r="C28" s="5" t="s">
        <v>486</v>
      </c>
      <c r="D28" s="5" t="s">
        <v>487</v>
      </c>
      <c r="E28" s="5" t="s">
        <v>106</v>
      </c>
      <c r="F28" s="5"/>
      <c r="G28" s="5" t="s">
        <v>615</v>
      </c>
      <c r="H28" s="5"/>
      <c r="I28" s="5" t="s">
        <v>616</v>
      </c>
      <c r="J28" s="5" t="s">
        <v>617</v>
      </c>
      <c r="K28" s="5" t="s">
        <v>525</v>
      </c>
      <c r="L28" s="5"/>
      <c r="M28" s="5" t="s">
        <v>618</v>
      </c>
      <c r="N28" s="5"/>
      <c r="O28" s="5"/>
      <c r="P28" s="5"/>
      <c r="Q28" s="5"/>
      <c r="R28" s="5"/>
      <c r="S28" s="5"/>
      <c r="T28" s="5"/>
      <c r="U28" s="5"/>
      <c r="V28" s="5" t="n">
        <v>3</v>
      </c>
      <c r="W28" s="5" t="s">
        <v>601</v>
      </c>
      <c r="X28" s="5"/>
      <c r="Y28" s="6" t="n">
        <v>571</v>
      </c>
    </row>
    <row r="29" customFormat="false" ht="102.2" hidden="false" customHeight="false" outlineLevel="0" collapsed="false">
      <c r="A29" s="5" t="s">
        <v>619</v>
      </c>
      <c r="B29" s="5" t="s">
        <v>620</v>
      </c>
      <c r="C29" s="5" t="s">
        <v>486</v>
      </c>
      <c r="D29" s="5" t="s">
        <v>487</v>
      </c>
      <c r="E29" s="5" t="s">
        <v>106</v>
      </c>
      <c r="F29" s="5"/>
      <c r="G29" s="5" t="s">
        <v>621</v>
      </c>
      <c r="H29" s="5"/>
      <c r="I29" s="5" t="s">
        <v>622</v>
      </c>
      <c r="J29" s="5" t="s">
        <v>623</v>
      </c>
      <c r="K29" s="5"/>
      <c r="L29" s="5"/>
      <c r="M29" s="5" t="s">
        <v>624</v>
      </c>
      <c r="N29" s="5"/>
      <c r="O29" s="5"/>
      <c r="P29" s="5"/>
      <c r="Q29" s="5"/>
      <c r="R29" s="5"/>
      <c r="S29" s="5"/>
      <c r="T29" s="5"/>
      <c r="U29" s="5"/>
      <c r="V29" s="5" t="n">
        <v>9</v>
      </c>
      <c r="W29" s="5" t="s">
        <v>625</v>
      </c>
      <c r="X29" s="5"/>
      <c r="Y29" s="6" t="n">
        <v>104</v>
      </c>
    </row>
    <row r="30" customFormat="false" ht="91" hidden="false" customHeight="false" outlineLevel="0" collapsed="false">
      <c r="A30" s="5" t="s">
        <v>323</v>
      </c>
      <c r="B30" s="5" t="s">
        <v>324</v>
      </c>
      <c r="C30" s="5" t="s">
        <v>168</v>
      </c>
      <c r="D30" s="5" t="s">
        <v>433</v>
      </c>
      <c r="E30" s="5" t="s">
        <v>516</v>
      </c>
      <c r="F30" s="5" t="n">
        <v>43</v>
      </c>
      <c r="G30" s="5" t="s">
        <v>322</v>
      </c>
      <c r="H30" s="5" t="s">
        <v>560</v>
      </c>
      <c r="I30" s="5" t="s">
        <v>626</v>
      </c>
      <c r="J30" s="5" t="s">
        <v>627</v>
      </c>
      <c r="K30" s="5" t="s">
        <v>628</v>
      </c>
      <c r="L30" s="5"/>
      <c r="M30" s="5" t="s">
        <v>629</v>
      </c>
      <c r="N30" s="5" t="s">
        <v>630</v>
      </c>
      <c r="O30" s="5"/>
      <c r="P30" s="5"/>
      <c r="Q30" s="5"/>
      <c r="R30" s="5"/>
      <c r="S30" s="5"/>
      <c r="T30" s="5"/>
      <c r="U30" s="5"/>
      <c r="V30" s="5" t="n">
        <v>10</v>
      </c>
      <c r="W30" s="5" t="s">
        <v>631</v>
      </c>
      <c r="X30" s="5"/>
      <c r="Y30" s="6" t="n">
        <v>1120</v>
      </c>
    </row>
    <row r="31" customFormat="false" ht="102.2" hidden="false" customHeight="false" outlineLevel="0" collapsed="false">
      <c r="A31" s="5" t="s">
        <v>153</v>
      </c>
      <c r="B31" s="5" t="s">
        <v>154</v>
      </c>
      <c r="C31" s="5" t="s">
        <v>155</v>
      </c>
      <c r="D31" s="5" t="s">
        <v>429</v>
      </c>
      <c r="E31" s="5" t="s">
        <v>516</v>
      </c>
      <c r="F31" s="5" t="n">
        <v>3</v>
      </c>
      <c r="G31" s="5" t="s">
        <v>152</v>
      </c>
      <c r="H31" s="5" t="s">
        <v>533</v>
      </c>
      <c r="I31" s="5" t="s">
        <v>632</v>
      </c>
      <c r="J31" s="5" t="s">
        <v>633</v>
      </c>
      <c r="K31" s="5" t="s">
        <v>634</v>
      </c>
      <c r="L31" s="5" t="s">
        <v>635</v>
      </c>
      <c r="M31" s="5"/>
      <c r="N31" s="5" t="s">
        <v>636</v>
      </c>
      <c r="O31" s="5"/>
      <c r="P31" s="5"/>
      <c r="Q31" s="5"/>
      <c r="R31" s="5"/>
      <c r="S31" s="5" t="s">
        <v>637</v>
      </c>
      <c r="T31" s="5"/>
      <c r="U31" s="5"/>
      <c r="V31" s="5" t="n">
        <v>16</v>
      </c>
      <c r="W31" s="5" t="s">
        <v>638</v>
      </c>
      <c r="X31" s="5"/>
      <c r="Y31" s="6" t="n">
        <v>833</v>
      </c>
    </row>
    <row r="32" customFormat="false" ht="102.2" hidden="false" customHeight="false" outlineLevel="0" collapsed="false">
      <c r="A32" s="5" t="s">
        <v>327</v>
      </c>
      <c r="B32" s="5" t="s">
        <v>328</v>
      </c>
      <c r="C32" s="5" t="s">
        <v>155</v>
      </c>
      <c r="D32" s="5" t="s">
        <v>429</v>
      </c>
      <c r="E32" s="5" t="s">
        <v>104</v>
      </c>
      <c r="F32" s="5"/>
      <c r="G32" s="5" t="s">
        <v>639</v>
      </c>
      <c r="H32" s="5" t="s">
        <v>533</v>
      </c>
      <c r="I32" s="5" t="s">
        <v>640</v>
      </c>
      <c r="J32" s="5" t="s">
        <v>641</v>
      </c>
      <c r="K32" s="5" t="s">
        <v>525</v>
      </c>
      <c r="L32" s="5"/>
      <c r="M32" s="5"/>
      <c r="N32" s="5"/>
      <c r="O32" s="5"/>
      <c r="P32" s="5"/>
      <c r="Q32" s="5"/>
      <c r="R32" s="5"/>
      <c r="S32" s="5"/>
      <c r="T32" s="5"/>
      <c r="U32" s="5"/>
      <c r="V32" s="5" t="n">
        <v>1</v>
      </c>
      <c r="W32" s="5" t="s">
        <v>642</v>
      </c>
      <c r="X32" s="5"/>
      <c r="Y32" s="6" t="n">
        <v>153</v>
      </c>
    </row>
    <row r="33" customFormat="false" ht="102.2" hidden="false" customHeight="false" outlineLevel="0" collapsed="false">
      <c r="A33" s="5" t="s">
        <v>293</v>
      </c>
      <c r="B33" s="5" t="s">
        <v>294</v>
      </c>
      <c r="C33" s="5" t="s">
        <v>278</v>
      </c>
      <c r="D33" s="5" t="s">
        <v>462</v>
      </c>
      <c r="E33" s="5" t="s">
        <v>516</v>
      </c>
      <c r="F33" s="5" t="n">
        <v>36</v>
      </c>
      <c r="G33" s="5" t="s">
        <v>292</v>
      </c>
      <c r="H33" s="5" t="s">
        <v>643</v>
      </c>
      <c r="I33" s="5" t="s">
        <v>644</v>
      </c>
      <c r="J33" s="5" t="s">
        <v>645</v>
      </c>
      <c r="K33" s="5" t="s">
        <v>577</v>
      </c>
      <c r="L33" s="5"/>
      <c r="M33" s="5" t="s">
        <v>646</v>
      </c>
      <c r="N33" s="5"/>
      <c r="O33" s="5" t="s">
        <v>647</v>
      </c>
      <c r="P33" s="5"/>
      <c r="Q33" s="5"/>
      <c r="R33" s="5"/>
      <c r="S33" s="5"/>
      <c r="T33" s="5" t="s">
        <v>182</v>
      </c>
      <c r="U33" s="5"/>
      <c r="V33" s="5" t="n">
        <v>1</v>
      </c>
      <c r="W33" s="5" t="s">
        <v>526</v>
      </c>
      <c r="X33" s="5"/>
      <c r="Y33" s="6" t="n">
        <v>238</v>
      </c>
    </row>
    <row r="34" customFormat="false" ht="113.4" hidden="false" customHeight="false" outlineLevel="0" collapsed="false">
      <c r="A34" s="5" t="s">
        <v>311</v>
      </c>
      <c r="B34" s="5" t="s">
        <v>312</v>
      </c>
      <c r="C34" s="5" t="s">
        <v>308</v>
      </c>
      <c r="D34" s="5" t="s">
        <v>466</v>
      </c>
      <c r="E34" s="5" t="s">
        <v>516</v>
      </c>
      <c r="F34" s="5" t="n">
        <v>40</v>
      </c>
      <c r="G34" s="5" t="s">
        <v>310</v>
      </c>
      <c r="H34" s="5"/>
      <c r="I34" s="5" t="s">
        <v>648</v>
      </c>
      <c r="J34" s="5" t="s">
        <v>649</v>
      </c>
      <c r="K34" s="5" t="s">
        <v>650</v>
      </c>
      <c r="L34" s="5"/>
      <c r="M34" s="5" t="s">
        <v>651</v>
      </c>
      <c r="N34" s="5" t="s">
        <v>652</v>
      </c>
      <c r="O34" s="5"/>
      <c r="P34" s="5"/>
      <c r="Q34" s="5"/>
      <c r="R34" s="5"/>
      <c r="S34" s="5"/>
      <c r="T34" s="5" t="s">
        <v>182</v>
      </c>
      <c r="U34" s="5"/>
      <c r="V34" s="5" t="n">
        <v>1</v>
      </c>
      <c r="W34" s="5" t="s">
        <v>653</v>
      </c>
      <c r="X34" s="5"/>
      <c r="Y34" s="6" t="n">
        <v>172</v>
      </c>
    </row>
    <row r="35" customFormat="false" ht="102.2" hidden="false" customHeight="false" outlineLevel="0" collapsed="false">
      <c r="A35" s="5" t="s">
        <v>242</v>
      </c>
      <c r="B35" s="5" t="s">
        <v>243</v>
      </c>
      <c r="C35" s="5" t="s">
        <v>177</v>
      </c>
      <c r="D35" s="5" t="s">
        <v>439</v>
      </c>
      <c r="E35" s="5" t="s">
        <v>516</v>
      </c>
      <c r="F35" s="5" t="n">
        <v>24</v>
      </c>
      <c r="G35" s="5" t="s">
        <v>241</v>
      </c>
      <c r="H35" s="5" t="s">
        <v>547</v>
      </c>
      <c r="I35" s="5" t="s">
        <v>654</v>
      </c>
      <c r="J35" s="5" t="s">
        <v>655</v>
      </c>
      <c r="K35" s="5" t="s">
        <v>656</v>
      </c>
      <c r="L35" s="5"/>
      <c r="M35" s="5" t="s">
        <v>657</v>
      </c>
      <c r="N35" s="5" t="s">
        <v>658</v>
      </c>
      <c r="O35" s="5"/>
      <c r="P35" s="5"/>
      <c r="Q35" s="5"/>
      <c r="R35" s="5"/>
      <c r="S35" s="5"/>
      <c r="T35" s="5" t="s">
        <v>182</v>
      </c>
      <c r="U35" s="5"/>
      <c r="V35" s="5" t="n">
        <v>7</v>
      </c>
      <c r="W35" s="5" t="s">
        <v>659</v>
      </c>
      <c r="X35" s="5"/>
      <c r="Y35" s="6" t="n">
        <v>294</v>
      </c>
    </row>
    <row r="36" customFormat="false" ht="57.45" hidden="false" customHeight="false" outlineLevel="0" collapsed="false">
      <c r="A36" s="5" t="s">
        <v>238</v>
      </c>
      <c r="B36" s="5" t="s">
        <v>239</v>
      </c>
      <c r="C36" s="5" t="s">
        <v>199</v>
      </c>
      <c r="D36" s="5" t="s">
        <v>451</v>
      </c>
      <c r="E36" s="5" t="s">
        <v>516</v>
      </c>
      <c r="F36" s="5" t="n">
        <v>23</v>
      </c>
      <c r="G36" s="5" t="s">
        <v>237</v>
      </c>
      <c r="H36" s="5"/>
      <c r="I36" s="5" t="s">
        <v>660</v>
      </c>
      <c r="J36" s="5" t="s">
        <v>661</v>
      </c>
      <c r="K36" s="5"/>
      <c r="L36" s="5"/>
      <c r="M36" s="5"/>
      <c r="N36" s="5"/>
      <c r="O36" s="5"/>
      <c r="P36" s="5"/>
      <c r="Q36" s="5"/>
      <c r="R36" s="5"/>
      <c r="S36" s="5"/>
      <c r="T36" s="5" t="s">
        <v>182</v>
      </c>
      <c r="U36" s="5"/>
      <c r="V36" s="5" t="n">
        <v>3</v>
      </c>
      <c r="W36" s="5" t="s">
        <v>662</v>
      </c>
      <c r="X36" s="5"/>
      <c r="Y36" s="6" t="n">
        <v>17</v>
      </c>
    </row>
    <row r="37" customFormat="false" ht="102.2" hidden="false" customHeight="false" outlineLevel="0" collapsed="false">
      <c r="A37" s="5" t="s">
        <v>197</v>
      </c>
      <c r="B37" s="5" t="s">
        <v>198</v>
      </c>
      <c r="C37" s="5" t="s">
        <v>199</v>
      </c>
      <c r="D37" s="5" t="s">
        <v>451</v>
      </c>
      <c r="E37" s="5" t="s">
        <v>516</v>
      </c>
      <c r="F37" s="5" t="n">
        <v>13</v>
      </c>
      <c r="G37" s="5" t="s">
        <v>196</v>
      </c>
      <c r="H37" s="5" t="s">
        <v>533</v>
      </c>
      <c r="I37" s="5" t="s">
        <v>663</v>
      </c>
      <c r="J37" s="5" t="s">
        <v>664</v>
      </c>
      <c r="K37" s="5" t="s">
        <v>577</v>
      </c>
      <c r="L37" s="5"/>
      <c r="M37" s="5" t="s">
        <v>196</v>
      </c>
      <c r="N37" s="5" t="s">
        <v>665</v>
      </c>
      <c r="O37" s="5" t="s">
        <v>666</v>
      </c>
      <c r="P37" s="5"/>
      <c r="Q37" s="5"/>
      <c r="R37" s="5"/>
      <c r="S37" s="5"/>
      <c r="T37" s="5" t="s">
        <v>182</v>
      </c>
      <c r="U37" s="5"/>
      <c r="V37" s="5" t="n">
        <v>1</v>
      </c>
      <c r="W37" s="5" t="s">
        <v>526</v>
      </c>
      <c r="X37" s="5"/>
      <c r="Y37" s="6" t="n">
        <v>169</v>
      </c>
    </row>
    <row r="38" customFormat="false" ht="68.65" hidden="false" customHeight="false" outlineLevel="0" collapsed="false">
      <c r="A38" s="5" t="s">
        <v>319</v>
      </c>
      <c r="B38" s="5" t="s">
        <v>320</v>
      </c>
      <c r="C38" s="5" t="s">
        <v>155</v>
      </c>
      <c r="D38" s="5" t="s">
        <v>429</v>
      </c>
      <c r="E38" s="5" t="s">
        <v>516</v>
      </c>
      <c r="F38" s="5" t="n">
        <v>42</v>
      </c>
      <c r="G38" s="5" t="s">
        <v>318</v>
      </c>
      <c r="H38" s="5" t="s">
        <v>667</v>
      </c>
      <c r="I38" s="5" t="s">
        <v>668</v>
      </c>
      <c r="J38" s="5" t="s">
        <v>669</v>
      </c>
      <c r="K38" s="5" t="s">
        <v>670</v>
      </c>
      <c r="L38" s="5"/>
      <c r="M38" s="5"/>
      <c r="N38" s="5"/>
      <c r="O38" s="5"/>
      <c r="P38" s="5"/>
      <c r="Q38" s="5"/>
      <c r="R38" s="5"/>
      <c r="S38" s="5" t="s">
        <v>671</v>
      </c>
      <c r="T38" s="5"/>
      <c r="U38" s="5"/>
      <c r="V38" s="5" t="n">
        <v>7</v>
      </c>
      <c r="W38" s="5" t="s">
        <v>672</v>
      </c>
      <c r="X38" s="5"/>
      <c r="Y38" s="6" t="n">
        <v>354</v>
      </c>
    </row>
    <row r="39" customFormat="false" ht="102.2" hidden="false" customHeight="false" outlineLevel="0" collapsed="false">
      <c r="A39" s="5" t="s">
        <v>158</v>
      </c>
      <c r="B39" s="5" t="s">
        <v>159</v>
      </c>
      <c r="C39" s="5" t="s">
        <v>155</v>
      </c>
      <c r="D39" s="5" t="s">
        <v>429</v>
      </c>
      <c r="E39" s="5" t="s">
        <v>516</v>
      </c>
      <c r="F39" s="5" t="n">
        <v>4</v>
      </c>
      <c r="G39" s="5" t="s">
        <v>157</v>
      </c>
      <c r="H39" s="5"/>
      <c r="I39" s="5" t="s">
        <v>673</v>
      </c>
      <c r="J39" s="5" t="s">
        <v>674</v>
      </c>
      <c r="K39" s="5" t="s">
        <v>675</v>
      </c>
      <c r="L39" s="5"/>
      <c r="M39" s="5" t="s">
        <v>676</v>
      </c>
      <c r="N39" s="5"/>
      <c r="O39" s="5"/>
      <c r="P39" s="5"/>
      <c r="Q39" s="5"/>
      <c r="R39" s="5"/>
      <c r="S39" s="5" t="s">
        <v>677</v>
      </c>
      <c r="T39" s="5"/>
      <c r="U39" s="5"/>
      <c r="V39" s="5" t="n">
        <v>39</v>
      </c>
      <c r="W39" s="5" t="s">
        <v>631</v>
      </c>
      <c r="X39" s="5" t="s">
        <v>678</v>
      </c>
      <c r="Y39" s="6" t="n">
        <v>2119</v>
      </c>
    </row>
    <row r="40" customFormat="false" ht="46.25" hidden="false" customHeight="false" outlineLevel="0" collapsed="false">
      <c r="A40" s="5" t="s">
        <v>679</v>
      </c>
      <c r="B40" s="5" t="s">
        <v>680</v>
      </c>
      <c r="C40" s="5" t="s">
        <v>155</v>
      </c>
      <c r="D40" s="5" t="s">
        <v>429</v>
      </c>
      <c r="E40" s="5" t="s">
        <v>512</v>
      </c>
      <c r="F40" s="5"/>
      <c r="G40" s="5"/>
      <c r="H40" s="5"/>
      <c r="I40" s="5" t="s">
        <v>681</v>
      </c>
      <c r="J40" s="5" t="s">
        <v>682</v>
      </c>
      <c r="K40" s="5"/>
      <c r="L40" s="5" t="s">
        <v>683</v>
      </c>
      <c r="M40" s="5"/>
      <c r="N40" s="5"/>
      <c r="O40" s="5"/>
      <c r="P40" s="5"/>
      <c r="Q40" s="5"/>
      <c r="R40" s="5"/>
      <c r="S40" s="5"/>
      <c r="T40" s="5"/>
      <c r="U40" s="5"/>
      <c r="V40" s="5" t="n">
        <v>1</v>
      </c>
      <c r="W40" s="5" t="s">
        <v>684</v>
      </c>
      <c r="X40" s="5"/>
      <c r="Y40" s="6" t="n">
        <v>53</v>
      </c>
    </row>
    <row r="41" customFormat="false" ht="102.2" hidden="false" customHeight="false" outlineLevel="0" collapsed="false">
      <c r="A41" s="5" t="s">
        <v>193</v>
      </c>
      <c r="B41" s="5" t="s">
        <v>194</v>
      </c>
      <c r="C41" s="5" t="s">
        <v>155</v>
      </c>
      <c r="D41" s="5" t="s">
        <v>429</v>
      </c>
      <c r="E41" s="5" t="s">
        <v>516</v>
      </c>
      <c r="F41" s="5" t="n">
        <v>12</v>
      </c>
      <c r="G41" s="5" t="s">
        <v>192</v>
      </c>
      <c r="H41" s="5" t="s">
        <v>533</v>
      </c>
      <c r="I41" s="5" t="s">
        <v>685</v>
      </c>
      <c r="J41" s="5" t="s">
        <v>686</v>
      </c>
      <c r="K41" s="5" t="s">
        <v>543</v>
      </c>
      <c r="L41" s="5"/>
      <c r="M41" s="5"/>
      <c r="N41" s="5" t="s">
        <v>687</v>
      </c>
      <c r="O41" s="5"/>
      <c r="P41" s="5"/>
      <c r="Q41" s="5"/>
      <c r="R41" s="5"/>
      <c r="S41" s="5"/>
      <c r="T41" s="5" t="s">
        <v>182</v>
      </c>
      <c r="U41" s="5"/>
      <c r="V41" s="5" t="n">
        <v>1</v>
      </c>
      <c r="W41" s="5" t="s">
        <v>526</v>
      </c>
      <c r="X41" s="5"/>
      <c r="Y41" s="6" t="n">
        <v>312</v>
      </c>
    </row>
    <row r="42" customFormat="false" ht="124.6" hidden="false" customHeight="false" outlineLevel="0" collapsed="false">
      <c r="A42" s="5" t="s">
        <v>263</v>
      </c>
      <c r="B42" s="5" t="s">
        <v>264</v>
      </c>
      <c r="C42" s="5" t="s">
        <v>265</v>
      </c>
      <c r="D42" s="5" t="s">
        <v>445</v>
      </c>
      <c r="E42" s="5" t="s">
        <v>516</v>
      </c>
      <c r="F42" s="5" t="n">
        <v>29</v>
      </c>
      <c r="G42" s="5" t="s">
        <v>262</v>
      </c>
      <c r="H42" s="5"/>
      <c r="I42" s="5" t="s">
        <v>688</v>
      </c>
      <c r="J42" s="5" t="s">
        <v>689</v>
      </c>
      <c r="K42" s="5" t="s">
        <v>690</v>
      </c>
      <c r="L42" s="5"/>
      <c r="M42" s="5" t="s">
        <v>691</v>
      </c>
      <c r="N42" s="5" t="s">
        <v>692</v>
      </c>
      <c r="O42" s="5"/>
      <c r="P42" s="5"/>
      <c r="Q42" s="5"/>
      <c r="R42" s="5"/>
      <c r="S42" s="5" t="s">
        <v>693</v>
      </c>
      <c r="T42" s="5" t="s">
        <v>182</v>
      </c>
      <c r="U42" s="5"/>
      <c r="V42" s="5" t="n">
        <v>3</v>
      </c>
      <c r="W42" s="5" t="s">
        <v>694</v>
      </c>
      <c r="X42" s="5" t="s">
        <v>695</v>
      </c>
      <c r="Y42" s="6" t="n">
        <v>367</v>
      </c>
    </row>
    <row r="43" customFormat="false" ht="202.95" hidden="false" customHeight="false" outlineLevel="0" collapsed="false">
      <c r="A43" s="5" t="s">
        <v>259</v>
      </c>
      <c r="B43" s="5" t="s">
        <v>260</v>
      </c>
      <c r="C43" s="5" t="s">
        <v>199</v>
      </c>
      <c r="D43" s="5" t="s">
        <v>451</v>
      </c>
      <c r="E43" s="5" t="s">
        <v>516</v>
      </c>
      <c r="F43" s="5" t="n">
        <v>28</v>
      </c>
      <c r="G43" s="5" t="s">
        <v>258</v>
      </c>
      <c r="H43" s="5"/>
      <c r="I43" s="5" t="s">
        <v>696</v>
      </c>
      <c r="J43" s="5" t="s">
        <v>697</v>
      </c>
      <c r="K43" s="5" t="s">
        <v>698</v>
      </c>
      <c r="L43" s="5"/>
      <c r="M43" s="5" t="s">
        <v>699</v>
      </c>
      <c r="N43" s="5" t="s">
        <v>592</v>
      </c>
      <c r="O43" s="5"/>
      <c r="P43" s="5"/>
      <c r="Q43" s="5"/>
      <c r="R43" s="5"/>
      <c r="S43" s="5" t="s">
        <v>700</v>
      </c>
      <c r="T43" s="5" t="s">
        <v>182</v>
      </c>
      <c r="U43" s="5"/>
      <c r="V43" s="5" t="n">
        <v>6</v>
      </c>
      <c r="W43" s="5" t="s">
        <v>546</v>
      </c>
      <c r="X43" s="5" t="s">
        <v>701</v>
      </c>
      <c r="Y43" s="6" t="n">
        <v>558</v>
      </c>
    </row>
    <row r="44" customFormat="false" ht="102.2" hidden="false" customHeight="false" outlineLevel="0" collapsed="false">
      <c r="A44" s="5" t="s">
        <v>234</v>
      </c>
      <c r="B44" s="5" t="s">
        <v>235</v>
      </c>
      <c r="C44" s="5" t="s">
        <v>199</v>
      </c>
      <c r="D44" s="5" t="s">
        <v>451</v>
      </c>
      <c r="E44" s="5" t="s">
        <v>516</v>
      </c>
      <c r="F44" s="5" t="n">
        <v>22</v>
      </c>
      <c r="G44" s="5" t="s">
        <v>233</v>
      </c>
      <c r="H44" s="5"/>
      <c r="I44" s="5" t="s">
        <v>702</v>
      </c>
      <c r="J44" s="5" t="s">
        <v>703</v>
      </c>
      <c r="K44" s="5" t="s">
        <v>543</v>
      </c>
      <c r="L44" s="5"/>
      <c r="M44" s="5" t="s">
        <v>704</v>
      </c>
      <c r="N44" s="5" t="s">
        <v>705</v>
      </c>
      <c r="O44" s="5"/>
      <c r="P44" s="5"/>
      <c r="Q44" s="5"/>
      <c r="R44" s="5"/>
      <c r="S44" s="5"/>
      <c r="T44" s="5" t="s">
        <v>182</v>
      </c>
      <c r="U44" s="5"/>
      <c r="V44" s="5" t="n">
        <v>5</v>
      </c>
      <c r="W44" s="5" t="s">
        <v>706</v>
      </c>
      <c r="X44" s="5" t="s">
        <v>707</v>
      </c>
      <c r="Y44" s="6" t="n">
        <v>521</v>
      </c>
    </row>
    <row r="45" customFormat="false" ht="46.25" hidden="false" customHeight="false" outlineLevel="0" collapsed="false">
      <c r="A45" s="5" t="s">
        <v>708</v>
      </c>
      <c r="B45" s="5" t="s">
        <v>709</v>
      </c>
      <c r="C45" s="5" t="s">
        <v>177</v>
      </c>
      <c r="D45" s="5" t="s">
        <v>439</v>
      </c>
      <c r="E45" s="5" t="s">
        <v>512</v>
      </c>
      <c r="F45" s="5"/>
      <c r="G45" s="5"/>
      <c r="H45" s="5"/>
      <c r="I45" s="5" t="s">
        <v>710</v>
      </c>
      <c r="J45" s="5" t="s">
        <v>711</v>
      </c>
      <c r="K45" s="5" t="s">
        <v>712</v>
      </c>
      <c r="L45" s="5" t="s">
        <v>175</v>
      </c>
      <c r="M45" s="5"/>
      <c r="N45" s="5"/>
      <c r="O45" s="5"/>
      <c r="P45" s="5"/>
      <c r="Q45" s="5"/>
      <c r="R45" s="5"/>
      <c r="S45" s="5"/>
      <c r="T45" s="5"/>
      <c r="U45" s="5"/>
      <c r="V45" s="5" t="n">
        <v>4</v>
      </c>
      <c r="W45" s="5" t="s">
        <v>713</v>
      </c>
      <c r="X45" s="5"/>
      <c r="Y45" s="6" t="n">
        <v>206</v>
      </c>
    </row>
    <row r="46" customFormat="false" ht="102.2" hidden="false" customHeight="false" outlineLevel="0" collapsed="false">
      <c r="A46" s="5" t="s">
        <v>255</v>
      </c>
      <c r="B46" s="5" t="s">
        <v>256</v>
      </c>
      <c r="C46" s="5" t="s">
        <v>199</v>
      </c>
      <c r="D46" s="5" t="s">
        <v>451</v>
      </c>
      <c r="E46" s="5" t="s">
        <v>516</v>
      </c>
      <c r="F46" s="5" t="n">
        <v>27</v>
      </c>
      <c r="G46" s="5" t="s">
        <v>254</v>
      </c>
      <c r="H46" s="5" t="s">
        <v>555</v>
      </c>
      <c r="I46" s="5" t="s">
        <v>714</v>
      </c>
      <c r="J46" s="5" t="s">
        <v>715</v>
      </c>
      <c r="K46" s="5" t="s">
        <v>525</v>
      </c>
      <c r="L46" s="5"/>
      <c r="M46" s="5" t="s">
        <v>716</v>
      </c>
      <c r="N46" s="5"/>
      <c r="O46" s="5"/>
      <c r="P46" s="5"/>
      <c r="Q46" s="5"/>
      <c r="R46" s="5"/>
      <c r="S46" s="5"/>
      <c r="T46" s="5" t="s">
        <v>182</v>
      </c>
      <c r="U46" s="5"/>
      <c r="V46" s="5" t="n">
        <v>1</v>
      </c>
      <c r="W46" s="5" t="s">
        <v>526</v>
      </c>
      <c r="X46" s="5"/>
      <c r="Y46" s="6" t="n">
        <v>204</v>
      </c>
    </row>
    <row r="47" customFormat="false" ht="68.65" hidden="false" customHeight="false" outlineLevel="0" collapsed="false">
      <c r="A47" s="5" t="s">
        <v>185</v>
      </c>
      <c r="B47" s="5" t="s">
        <v>186</v>
      </c>
      <c r="C47" s="5" t="s">
        <v>177</v>
      </c>
      <c r="D47" s="5" t="s">
        <v>439</v>
      </c>
      <c r="E47" s="5" t="s">
        <v>516</v>
      </c>
      <c r="F47" s="5" t="n">
        <v>10</v>
      </c>
      <c r="G47" s="5" t="s">
        <v>184</v>
      </c>
      <c r="H47" s="5" t="s">
        <v>547</v>
      </c>
      <c r="I47" s="5" t="s">
        <v>717</v>
      </c>
      <c r="J47" s="5" t="s">
        <v>718</v>
      </c>
      <c r="K47" s="5" t="s">
        <v>525</v>
      </c>
      <c r="L47" s="5"/>
      <c r="M47" s="5"/>
      <c r="N47" s="5" t="s">
        <v>719</v>
      </c>
      <c r="O47" s="5"/>
      <c r="P47" s="5"/>
      <c r="Q47" s="5"/>
      <c r="R47" s="5"/>
      <c r="S47" s="5" t="s">
        <v>720</v>
      </c>
      <c r="T47" s="5"/>
      <c r="U47" s="5"/>
      <c r="V47" s="5" t="n">
        <v>2</v>
      </c>
      <c r="W47" s="5" t="s">
        <v>546</v>
      </c>
      <c r="X47" s="5"/>
      <c r="Y47" s="6" t="n">
        <v>115</v>
      </c>
    </row>
    <row r="48" customFormat="false" ht="102.2" hidden="false" customHeight="false" outlineLevel="0" collapsed="false">
      <c r="A48" s="5" t="s">
        <v>297</v>
      </c>
      <c r="B48" s="5" t="s">
        <v>298</v>
      </c>
      <c r="C48" s="5" t="s">
        <v>155</v>
      </c>
      <c r="D48" s="5" t="s">
        <v>429</v>
      </c>
      <c r="E48" s="5" t="s">
        <v>516</v>
      </c>
      <c r="F48" s="5" t="n">
        <v>37</v>
      </c>
      <c r="G48" s="5" t="s">
        <v>296</v>
      </c>
      <c r="H48" s="5" t="s">
        <v>533</v>
      </c>
      <c r="I48" s="5" t="s">
        <v>721</v>
      </c>
      <c r="J48" s="5" t="s">
        <v>722</v>
      </c>
      <c r="K48" s="5" t="s">
        <v>543</v>
      </c>
      <c r="L48" s="5"/>
      <c r="M48" s="5"/>
      <c r="N48" s="5" t="s">
        <v>723</v>
      </c>
      <c r="O48" s="5"/>
      <c r="P48" s="5"/>
      <c r="Q48" s="5"/>
      <c r="R48" s="5" t="s">
        <v>724</v>
      </c>
      <c r="S48" s="5"/>
      <c r="T48" s="5" t="s">
        <v>182</v>
      </c>
      <c r="U48" s="5"/>
      <c r="V48" s="5" t="n">
        <v>1</v>
      </c>
      <c r="W48" s="5" t="s">
        <v>526</v>
      </c>
      <c r="X48" s="5"/>
      <c r="Y48" s="6" t="n">
        <v>209</v>
      </c>
    </row>
    <row r="49" customFormat="false" ht="102.2" hidden="false" customHeight="false" outlineLevel="0" collapsed="false">
      <c r="A49" s="5" t="s">
        <v>306</v>
      </c>
      <c r="B49" s="5" t="s">
        <v>307</v>
      </c>
      <c r="C49" s="5" t="s">
        <v>308</v>
      </c>
      <c r="D49" s="5" t="s">
        <v>466</v>
      </c>
      <c r="E49" s="5" t="s">
        <v>516</v>
      </c>
      <c r="F49" s="5" t="n">
        <v>39</v>
      </c>
      <c r="G49" s="5" t="s">
        <v>305</v>
      </c>
      <c r="H49" s="5"/>
      <c r="I49" s="5" t="s">
        <v>725</v>
      </c>
      <c r="J49" s="5" t="s">
        <v>726</v>
      </c>
      <c r="K49" s="5"/>
      <c r="L49" s="5"/>
      <c r="M49" s="5" t="s">
        <v>727</v>
      </c>
      <c r="N49" s="5" t="s">
        <v>728</v>
      </c>
      <c r="O49" s="5"/>
      <c r="P49" s="5"/>
      <c r="Q49" s="5"/>
      <c r="R49" s="5"/>
      <c r="S49" s="5"/>
      <c r="T49" s="5" t="s">
        <v>182</v>
      </c>
      <c r="U49" s="5"/>
      <c r="V49" s="5" t="n">
        <v>8</v>
      </c>
      <c r="W49" s="5" t="s">
        <v>546</v>
      </c>
      <c r="X49" s="5"/>
      <c r="Y49" s="6" t="n">
        <v>465</v>
      </c>
    </row>
    <row r="50" customFormat="false" ht="113.4" hidden="false" customHeight="false" outlineLevel="0" collapsed="false">
      <c r="A50" s="5" t="s">
        <v>189</v>
      </c>
      <c r="B50" s="5" t="s">
        <v>190</v>
      </c>
      <c r="C50" s="5" t="s">
        <v>177</v>
      </c>
      <c r="D50" s="5" t="s">
        <v>439</v>
      </c>
      <c r="E50" s="5" t="s">
        <v>516</v>
      </c>
      <c r="F50" s="5" t="n">
        <v>11</v>
      </c>
      <c r="G50" s="5" t="s">
        <v>188</v>
      </c>
      <c r="H50" s="5"/>
      <c r="I50" s="5" t="s">
        <v>729</v>
      </c>
      <c r="J50" s="5" t="s">
        <v>730</v>
      </c>
      <c r="K50" s="5" t="s">
        <v>731</v>
      </c>
      <c r="L50" s="5"/>
      <c r="M50" s="5" t="s">
        <v>732</v>
      </c>
      <c r="N50" s="5" t="s">
        <v>551</v>
      </c>
      <c r="O50" s="5"/>
      <c r="P50" s="5"/>
      <c r="Q50" s="5" t="s">
        <v>733</v>
      </c>
      <c r="R50" s="5"/>
      <c r="S50" s="5"/>
      <c r="T50" s="5"/>
      <c r="U50" s="5"/>
      <c r="V50" s="5" t="n">
        <v>2</v>
      </c>
      <c r="W50" s="5" t="s">
        <v>734</v>
      </c>
      <c r="X50" s="5"/>
      <c r="Y50" s="6" t="n">
        <v>86</v>
      </c>
    </row>
    <row r="51" customFormat="false" ht="135.8" hidden="false" customHeight="false" outlineLevel="0" collapsed="false">
      <c r="A51" s="5" t="s">
        <v>735</v>
      </c>
      <c r="B51" s="5" t="s">
        <v>736</v>
      </c>
      <c r="C51" s="5" t="s">
        <v>486</v>
      </c>
      <c r="D51" s="5" t="s">
        <v>487</v>
      </c>
      <c r="E51" s="5" t="s">
        <v>106</v>
      </c>
      <c r="F51" s="5"/>
      <c r="G51" s="5" t="s">
        <v>737</v>
      </c>
      <c r="H51" s="5"/>
      <c r="I51" s="5" t="s">
        <v>738</v>
      </c>
      <c r="J51" s="5" t="s">
        <v>739</v>
      </c>
      <c r="K51" s="5" t="s">
        <v>740</v>
      </c>
      <c r="L51" s="5"/>
      <c r="M51" s="5"/>
      <c r="N51" s="5" t="s">
        <v>741</v>
      </c>
      <c r="O51" s="5" t="s">
        <v>742</v>
      </c>
      <c r="P51" s="5"/>
      <c r="Q51" s="5"/>
      <c r="R51" s="5" t="s">
        <v>743</v>
      </c>
      <c r="S51" s="5"/>
      <c r="T51" s="5"/>
      <c r="U51" s="5"/>
      <c r="V51" s="5" t="n">
        <v>2</v>
      </c>
      <c r="W51" s="5" t="s">
        <v>662</v>
      </c>
      <c r="X51" s="5"/>
      <c r="Y51" s="6" t="n">
        <v>243</v>
      </c>
    </row>
    <row r="52" customFormat="false" ht="102.2" hidden="false" customHeight="false" outlineLevel="0" collapsed="false">
      <c r="A52" s="5" t="s">
        <v>246</v>
      </c>
      <c r="B52" s="5" t="s">
        <v>247</v>
      </c>
      <c r="C52" s="5" t="s">
        <v>177</v>
      </c>
      <c r="D52" s="5" t="s">
        <v>439</v>
      </c>
      <c r="E52" s="5" t="s">
        <v>516</v>
      </c>
      <c r="F52" s="5" t="n">
        <v>25</v>
      </c>
      <c r="G52" s="5" t="s">
        <v>245</v>
      </c>
      <c r="H52" s="5" t="s">
        <v>547</v>
      </c>
      <c r="I52" s="5" t="s">
        <v>744</v>
      </c>
      <c r="J52" s="5" t="s">
        <v>745</v>
      </c>
      <c r="K52" s="5"/>
      <c r="L52" s="5"/>
      <c r="M52" s="5" t="s">
        <v>746</v>
      </c>
      <c r="N52" s="5"/>
      <c r="O52" s="5"/>
      <c r="P52" s="5"/>
      <c r="Q52" s="5"/>
      <c r="R52" s="5"/>
      <c r="S52" s="5"/>
      <c r="T52" s="5" t="s">
        <v>182</v>
      </c>
      <c r="U52" s="5"/>
      <c r="V52" s="5" t="n">
        <v>1</v>
      </c>
      <c r="W52" s="5" t="s">
        <v>526</v>
      </c>
      <c r="X52" s="5"/>
      <c r="Y52" s="6" t="n">
        <v>109</v>
      </c>
    </row>
    <row r="53" customFormat="false" ht="113.4" hidden="false" customHeight="false" outlineLevel="0" collapsed="false">
      <c r="A53" s="5" t="s">
        <v>143</v>
      </c>
      <c r="B53" s="5" t="s">
        <v>144</v>
      </c>
      <c r="C53" s="5" t="s">
        <v>145</v>
      </c>
      <c r="D53" s="5" t="s">
        <v>411</v>
      </c>
      <c r="E53" s="5" t="s">
        <v>516</v>
      </c>
      <c r="F53" s="5" t="n">
        <v>1</v>
      </c>
      <c r="G53" s="5" t="s">
        <v>142</v>
      </c>
      <c r="H53" s="5"/>
      <c r="I53" s="5" t="s">
        <v>747</v>
      </c>
      <c r="J53" s="5" t="s">
        <v>748</v>
      </c>
      <c r="K53" s="5" t="s">
        <v>749</v>
      </c>
      <c r="L53" s="5" t="s">
        <v>750</v>
      </c>
      <c r="M53" s="5" t="s">
        <v>751</v>
      </c>
      <c r="N53" s="5" t="s">
        <v>752</v>
      </c>
      <c r="O53" s="5" t="s">
        <v>753</v>
      </c>
      <c r="P53" s="5"/>
      <c r="Q53" s="5"/>
      <c r="R53" s="5"/>
      <c r="S53" s="5"/>
      <c r="T53" s="5"/>
      <c r="U53" s="5" t="s">
        <v>182</v>
      </c>
      <c r="V53" s="5" t="n">
        <v>21</v>
      </c>
      <c r="W53" s="5" t="s">
        <v>625</v>
      </c>
      <c r="X53" s="5"/>
      <c r="Y53" s="6" t="n">
        <v>561</v>
      </c>
    </row>
    <row r="54" customFormat="false" ht="102.2" hidden="false" customHeight="false" outlineLevel="0" collapsed="false">
      <c r="A54" s="5" t="s">
        <v>754</v>
      </c>
      <c r="B54" s="5" t="s">
        <v>755</v>
      </c>
      <c r="C54" s="5" t="s">
        <v>486</v>
      </c>
      <c r="D54" s="5" t="s">
        <v>487</v>
      </c>
      <c r="E54" s="5" t="s">
        <v>756</v>
      </c>
      <c r="F54" s="5"/>
      <c r="G54" s="5" t="s">
        <v>757</v>
      </c>
      <c r="H54" s="5"/>
      <c r="I54" s="5" t="s">
        <v>758</v>
      </c>
      <c r="J54" s="5" t="s">
        <v>759</v>
      </c>
      <c r="K54" s="5" t="s">
        <v>760</v>
      </c>
      <c r="L54" s="5"/>
      <c r="M54" s="5" t="s">
        <v>761</v>
      </c>
      <c r="N54" s="5" t="s">
        <v>762</v>
      </c>
      <c r="O54" s="5"/>
      <c r="P54" s="5"/>
      <c r="Q54" s="5"/>
      <c r="R54" s="5"/>
      <c r="S54" s="5" t="s">
        <v>763</v>
      </c>
      <c r="T54" s="5"/>
      <c r="U54" s="5" t="s">
        <v>182</v>
      </c>
      <c r="V54" s="5" t="n">
        <v>1</v>
      </c>
      <c r="W54" s="5" t="s">
        <v>526</v>
      </c>
      <c r="X54" s="5"/>
      <c r="Y54" s="6" t="n">
        <v>973</v>
      </c>
    </row>
    <row r="55" customFormat="false" ht="102.2" hidden="false" customHeight="false" outlineLevel="0" collapsed="false">
      <c r="A55" s="5" t="s">
        <v>764</v>
      </c>
      <c r="B55" s="5" t="s">
        <v>765</v>
      </c>
      <c r="C55" s="5" t="s">
        <v>199</v>
      </c>
      <c r="D55" s="5" t="s">
        <v>451</v>
      </c>
      <c r="E55" s="5" t="s">
        <v>512</v>
      </c>
      <c r="F55" s="5"/>
      <c r="G55" s="5"/>
      <c r="H55" s="5"/>
      <c r="I55" s="5" t="s">
        <v>766</v>
      </c>
      <c r="J55" s="5" t="s">
        <v>767</v>
      </c>
      <c r="K55" s="5"/>
      <c r="L55" s="5"/>
      <c r="M55" s="5"/>
      <c r="N55" s="5" t="s">
        <v>768</v>
      </c>
      <c r="O55" s="5"/>
      <c r="P55" s="5"/>
      <c r="Q55" s="5"/>
      <c r="R55" s="5"/>
      <c r="S55" s="5"/>
      <c r="T55" s="5"/>
      <c r="U55" s="5"/>
      <c r="V55" s="5" t="n">
        <v>1</v>
      </c>
      <c r="W55" s="5" t="s">
        <v>769</v>
      </c>
      <c r="X55" s="5"/>
      <c r="Y55" s="6" t="n">
        <v>150</v>
      </c>
    </row>
    <row r="56" customFormat="false" ht="102.2" hidden="false" customHeight="false" outlineLevel="0" collapsed="false">
      <c r="A56" s="5" t="s">
        <v>770</v>
      </c>
      <c r="B56" s="5" t="s">
        <v>771</v>
      </c>
      <c r="C56" s="5" t="s">
        <v>486</v>
      </c>
      <c r="D56" s="5" t="s">
        <v>487</v>
      </c>
      <c r="E56" s="5" t="s">
        <v>756</v>
      </c>
      <c r="F56" s="5"/>
      <c r="G56" s="5"/>
      <c r="H56" s="5"/>
      <c r="I56" s="5" t="s">
        <v>772</v>
      </c>
      <c r="J56" s="5" t="s">
        <v>773</v>
      </c>
      <c r="K56" s="5" t="s">
        <v>774</v>
      </c>
      <c r="L56" s="5" t="s">
        <v>775</v>
      </c>
      <c r="M56" s="5"/>
      <c r="N56" s="5"/>
      <c r="O56" s="5"/>
      <c r="P56" s="5"/>
      <c r="Q56" s="5" t="s">
        <v>776</v>
      </c>
      <c r="R56" s="5"/>
      <c r="S56" s="5"/>
      <c r="T56" s="5"/>
      <c r="U56" s="5" t="s">
        <v>182</v>
      </c>
      <c r="V56" s="5" t="n">
        <v>1</v>
      </c>
      <c r="W56" s="5" t="s">
        <v>526</v>
      </c>
      <c r="X56" s="5"/>
      <c r="Y56" s="6" t="n">
        <v>336</v>
      </c>
    </row>
    <row r="57" customFormat="false" ht="102.2" hidden="false" customHeight="false" outlineLevel="0" collapsed="false">
      <c r="A57" s="5" t="s">
        <v>777</v>
      </c>
      <c r="B57" s="5" t="s">
        <v>778</v>
      </c>
      <c r="C57" s="5" t="s">
        <v>486</v>
      </c>
      <c r="D57" s="5" t="s">
        <v>487</v>
      </c>
      <c r="E57" s="5" t="s">
        <v>106</v>
      </c>
      <c r="F57" s="5"/>
      <c r="G57" s="5"/>
      <c r="H57" s="5"/>
      <c r="I57" s="5" t="s">
        <v>779</v>
      </c>
      <c r="J57" s="5" t="s">
        <v>780</v>
      </c>
      <c r="K57" s="5" t="s">
        <v>543</v>
      </c>
      <c r="L57" s="5"/>
      <c r="M57" s="5"/>
      <c r="N57" s="5"/>
      <c r="O57" s="5"/>
      <c r="P57" s="5"/>
      <c r="Q57" s="5"/>
      <c r="R57" s="5"/>
      <c r="S57" s="5"/>
      <c r="T57" s="5"/>
      <c r="U57" s="5"/>
      <c r="V57" s="5" t="n">
        <v>1</v>
      </c>
      <c r="W57" s="5" t="s">
        <v>526</v>
      </c>
      <c r="X57" s="5"/>
      <c r="Y57" s="6" t="n">
        <v>344</v>
      </c>
    </row>
    <row r="58" customFormat="false" ht="102.2" hidden="false" customHeight="false" outlineLevel="0" collapsed="false">
      <c r="A58" s="5" t="s">
        <v>781</v>
      </c>
      <c r="B58" s="5" t="s">
        <v>782</v>
      </c>
      <c r="C58" s="5" t="s">
        <v>486</v>
      </c>
      <c r="D58" s="5" t="s">
        <v>487</v>
      </c>
      <c r="E58" s="5" t="s">
        <v>756</v>
      </c>
      <c r="F58" s="5"/>
      <c r="G58" s="5" t="s">
        <v>433</v>
      </c>
      <c r="H58" s="5"/>
      <c r="I58" s="5" t="s">
        <v>783</v>
      </c>
      <c r="J58" s="5" t="s">
        <v>784</v>
      </c>
      <c r="K58" s="5" t="s">
        <v>785</v>
      </c>
      <c r="L58" s="5"/>
      <c r="M58" s="5"/>
      <c r="N58" s="5" t="s">
        <v>786</v>
      </c>
      <c r="O58" s="5"/>
      <c r="P58" s="5"/>
      <c r="Q58" s="5" t="s">
        <v>787</v>
      </c>
      <c r="R58" s="5"/>
      <c r="S58" s="5" t="s">
        <v>788</v>
      </c>
      <c r="T58" s="5"/>
      <c r="U58" s="5" t="s">
        <v>182</v>
      </c>
      <c r="V58" s="5" t="n">
        <v>5</v>
      </c>
      <c r="W58" s="5" t="s">
        <v>789</v>
      </c>
      <c r="X58" s="5"/>
      <c r="Y58" s="6" t="n">
        <v>2153</v>
      </c>
    </row>
    <row r="59" customFormat="false" ht="68.65" hidden="false" customHeight="false" outlineLevel="0" collapsed="false">
      <c r="A59" s="5" t="s">
        <v>790</v>
      </c>
      <c r="B59" s="5" t="s">
        <v>791</v>
      </c>
      <c r="C59" s="5" t="s">
        <v>486</v>
      </c>
      <c r="D59" s="5" t="s">
        <v>487</v>
      </c>
      <c r="E59" s="5" t="s">
        <v>756</v>
      </c>
      <c r="F59" s="5"/>
      <c r="G59" s="5" t="s">
        <v>792</v>
      </c>
      <c r="H59" s="5"/>
      <c r="I59" s="5" t="s">
        <v>793</v>
      </c>
      <c r="J59" s="5" t="s">
        <v>794</v>
      </c>
      <c r="K59" s="5" t="s">
        <v>795</v>
      </c>
      <c r="L59" s="5" t="s">
        <v>796</v>
      </c>
      <c r="M59" s="5"/>
      <c r="N59" s="5" t="s">
        <v>797</v>
      </c>
      <c r="O59" s="5"/>
      <c r="P59" s="5" t="s">
        <v>587</v>
      </c>
      <c r="Q59" s="5" t="s">
        <v>798</v>
      </c>
      <c r="R59" s="5"/>
      <c r="S59" s="5" t="s">
        <v>763</v>
      </c>
      <c r="T59" s="5"/>
      <c r="U59" s="5" t="s">
        <v>182</v>
      </c>
      <c r="V59" s="5" t="n">
        <v>9</v>
      </c>
      <c r="W59" s="5" t="s">
        <v>672</v>
      </c>
      <c r="X59" s="5" t="s">
        <v>799</v>
      </c>
      <c r="Y59" s="6" t="n">
        <v>1976</v>
      </c>
    </row>
    <row r="60" customFormat="false" ht="102.2" hidden="false" customHeight="false" outlineLevel="0" collapsed="false">
      <c r="A60" s="5" t="s">
        <v>800</v>
      </c>
      <c r="B60" s="5" t="s">
        <v>801</v>
      </c>
      <c r="C60" s="5" t="s">
        <v>486</v>
      </c>
      <c r="D60" s="5" t="s">
        <v>487</v>
      </c>
      <c r="E60" s="5" t="s">
        <v>756</v>
      </c>
      <c r="F60" s="5"/>
      <c r="G60" s="5"/>
      <c r="H60" s="5"/>
      <c r="I60" s="5" t="s">
        <v>802</v>
      </c>
      <c r="J60" s="5" t="s">
        <v>803</v>
      </c>
      <c r="K60" s="5" t="s">
        <v>804</v>
      </c>
      <c r="L60" s="5" t="s">
        <v>790</v>
      </c>
      <c r="M60" s="5"/>
      <c r="N60" s="5" t="s">
        <v>805</v>
      </c>
      <c r="O60" s="5"/>
      <c r="P60" s="5"/>
      <c r="Q60" s="5"/>
      <c r="R60" s="5"/>
      <c r="S60" s="5"/>
      <c r="T60" s="5"/>
      <c r="U60" s="5" t="s">
        <v>182</v>
      </c>
      <c r="V60" s="5" t="n">
        <v>5</v>
      </c>
      <c r="W60" s="5" t="s">
        <v>526</v>
      </c>
      <c r="X60" s="5"/>
      <c r="Y60" s="6" t="n">
        <v>235</v>
      </c>
    </row>
    <row r="61" customFormat="false" ht="102.2" hidden="false" customHeight="false" outlineLevel="0" collapsed="false">
      <c r="A61" s="5" t="s">
        <v>806</v>
      </c>
      <c r="B61" s="5" t="s">
        <v>807</v>
      </c>
      <c r="C61" s="5" t="s">
        <v>479</v>
      </c>
      <c r="D61" s="5" t="s">
        <v>480</v>
      </c>
      <c r="E61" s="5" t="s">
        <v>512</v>
      </c>
      <c r="F61" s="5"/>
      <c r="G61" s="5"/>
      <c r="H61" s="5"/>
      <c r="I61" s="5" t="s">
        <v>808</v>
      </c>
      <c r="J61" s="5" t="s">
        <v>809</v>
      </c>
      <c r="K61" s="5"/>
      <c r="L61" s="5" t="s">
        <v>810</v>
      </c>
      <c r="M61" s="5" t="s">
        <v>811</v>
      </c>
      <c r="N61" s="5" t="s">
        <v>812</v>
      </c>
      <c r="O61" s="5"/>
      <c r="P61" s="5"/>
      <c r="Q61" s="5"/>
      <c r="R61" s="5"/>
      <c r="S61" s="5"/>
      <c r="T61" s="5"/>
      <c r="U61" s="5" t="s">
        <v>182</v>
      </c>
      <c r="V61" s="5" t="n">
        <v>7</v>
      </c>
      <c r="W61" s="5" t="s">
        <v>813</v>
      </c>
      <c r="X61" s="5"/>
      <c r="Y61" s="6" t="n">
        <v>236</v>
      </c>
    </row>
    <row r="62" customFormat="false" ht="102.2" hidden="false" customHeight="false" outlineLevel="0" collapsed="false">
      <c r="A62" s="5" t="s">
        <v>814</v>
      </c>
      <c r="B62" s="5" t="s">
        <v>815</v>
      </c>
      <c r="C62" s="5" t="s">
        <v>265</v>
      </c>
      <c r="D62" s="5" t="s">
        <v>445</v>
      </c>
      <c r="E62" s="5" t="s">
        <v>512</v>
      </c>
      <c r="F62" s="5"/>
      <c r="G62" s="5"/>
      <c r="H62" s="5"/>
      <c r="I62" s="5" t="s">
        <v>816</v>
      </c>
      <c r="J62" s="5" t="s">
        <v>817</v>
      </c>
      <c r="K62" s="5" t="s">
        <v>818</v>
      </c>
      <c r="L62" s="5" t="s">
        <v>819</v>
      </c>
      <c r="M62" s="5"/>
      <c r="N62" s="5"/>
      <c r="O62" s="5" t="s">
        <v>820</v>
      </c>
      <c r="P62" s="5"/>
      <c r="Q62" s="5"/>
      <c r="R62" s="5"/>
      <c r="S62" s="5"/>
      <c r="T62" s="5"/>
      <c r="U62" s="5" t="s">
        <v>182</v>
      </c>
      <c r="V62" s="5" t="n">
        <v>3</v>
      </c>
      <c r="W62" s="5" t="s">
        <v>526</v>
      </c>
      <c r="X62" s="5"/>
      <c r="Y62" s="6" t="n">
        <v>635</v>
      </c>
    </row>
    <row r="63" customFormat="false" ht="113.4" hidden="false" customHeight="false" outlineLevel="0" collapsed="false">
      <c r="A63" s="5" t="s">
        <v>821</v>
      </c>
      <c r="B63" s="5" t="s">
        <v>822</v>
      </c>
      <c r="C63" s="5" t="s">
        <v>404</v>
      </c>
      <c r="D63" s="5" t="s">
        <v>405</v>
      </c>
      <c r="E63" s="5" t="s">
        <v>512</v>
      </c>
      <c r="F63" s="5"/>
      <c r="G63" s="5"/>
      <c r="H63" s="5"/>
      <c r="I63" s="5" t="s">
        <v>823</v>
      </c>
      <c r="J63" s="5" t="s">
        <v>824</v>
      </c>
      <c r="K63" s="5" t="s">
        <v>825</v>
      </c>
      <c r="L63" s="5"/>
      <c r="M63" s="5" t="s">
        <v>826</v>
      </c>
      <c r="N63" s="5" t="s">
        <v>827</v>
      </c>
      <c r="O63" s="5" t="s">
        <v>828</v>
      </c>
      <c r="P63" s="5"/>
      <c r="Q63" s="5" t="s">
        <v>829</v>
      </c>
      <c r="R63" s="5"/>
      <c r="S63" s="5"/>
      <c r="T63" s="5"/>
      <c r="U63" s="5" t="s">
        <v>182</v>
      </c>
      <c r="V63" s="5" t="n">
        <v>50</v>
      </c>
      <c r="W63" s="5" t="s">
        <v>830</v>
      </c>
      <c r="X63" s="5" t="s">
        <v>831</v>
      </c>
      <c r="Y63" s="6" t="n">
        <v>1843</v>
      </c>
    </row>
    <row r="64" customFormat="false" ht="102.2" hidden="false" customHeight="false" outlineLevel="0" collapsed="false">
      <c r="A64" s="5" t="s">
        <v>832</v>
      </c>
      <c r="B64" s="5" t="s">
        <v>833</v>
      </c>
      <c r="C64" s="5" t="s">
        <v>404</v>
      </c>
      <c r="D64" s="5" t="s">
        <v>405</v>
      </c>
      <c r="E64" s="5" t="s">
        <v>512</v>
      </c>
      <c r="F64" s="5"/>
      <c r="G64" s="5"/>
      <c r="H64" s="5"/>
      <c r="I64" s="5" t="s">
        <v>834</v>
      </c>
      <c r="J64" s="5" t="s">
        <v>835</v>
      </c>
      <c r="K64" s="5" t="s">
        <v>836</v>
      </c>
      <c r="L64" s="5" t="s">
        <v>821</v>
      </c>
      <c r="M64" s="5" t="s">
        <v>837</v>
      </c>
      <c r="N64" s="5" t="s">
        <v>838</v>
      </c>
      <c r="O64" s="5"/>
      <c r="P64" s="5"/>
      <c r="Q64" s="5" t="s">
        <v>839</v>
      </c>
      <c r="R64" s="5"/>
      <c r="S64" s="5"/>
      <c r="T64" s="5"/>
      <c r="U64" s="5" t="s">
        <v>182</v>
      </c>
      <c r="V64" s="5" t="n">
        <v>10</v>
      </c>
      <c r="W64" s="5" t="s">
        <v>706</v>
      </c>
      <c r="X64" s="5"/>
      <c r="Y64" s="6" t="n">
        <v>972</v>
      </c>
    </row>
    <row r="65" customFormat="false" ht="68.65" hidden="false" customHeight="false" outlineLevel="0" collapsed="false">
      <c r="A65" s="5" t="s">
        <v>731</v>
      </c>
      <c r="B65" s="5" t="s">
        <v>840</v>
      </c>
      <c r="C65" s="5" t="s">
        <v>404</v>
      </c>
      <c r="D65" s="5" t="s">
        <v>405</v>
      </c>
      <c r="E65" s="5" t="s">
        <v>512</v>
      </c>
      <c r="F65" s="5"/>
      <c r="G65" s="5"/>
      <c r="H65" s="5"/>
      <c r="I65" s="5" t="s">
        <v>841</v>
      </c>
      <c r="J65" s="5" t="s">
        <v>842</v>
      </c>
      <c r="K65" s="5"/>
      <c r="L65" s="5" t="s">
        <v>843</v>
      </c>
      <c r="M65" s="5"/>
      <c r="N65" s="5"/>
      <c r="O65" s="5"/>
      <c r="P65" s="5"/>
      <c r="Q65" s="5"/>
      <c r="R65" s="5"/>
      <c r="S65" s="5"/>
      <c r="T65" s="5"/>
      <c r="U65" s="5" t="s">
        <v>182</v>
      </c>
      <c r="V65" s="5" t="n">
        <v>3</v>
      </c>
      <c r="W65" s="5" t="s">
        <v>844</v>
      </c>
      <c r="X65" s="5" t="s">
        <v>845</v>
      </c>
      <c r="Y65" s="6" t="n">
        <v>175</v>
      </c>
    </row>
    <row r="66" customFormat="false" ht="35.05" hidden="false" customHeight="false" outlineLevel="0" collapsed="false">
      <c r="A66" s="5" t="s">
        <v>846</v>
      </c>
      <c r="B66" s="5" t="s">
        <v>847</v>
      </c>
      <c r="C66" s="5" t="s">
        <v>199</v>
      </c>
      <c r="D66" s="5" t="s">
        <v>451</v>
      </c>
      <c r="E66" s="5" t="s">
        <v>512</v>
      </c>
      <c r="F66" s="5"/>
      <c r="G66" s="5"/>
      <c r="H66" s="5"/>
      <c r="I66" s="5"/>
      <c r="J66" s="5" t="s">
        <v>848</v>
      </c>
      <c r="K66" s="5" t="s">
        <v>849</v>
      </c>
      <c r="L66" s="5" t="s">
        <v>819</v>
      </c>
      <c r="M66" s="5"/>
      <c r="N66" s="5"/>
      <c r="O66" s="5"/>
      <c r="P66" s="5"/>
      <c r="Q66" s="5"/>
      <c r="R66" s="5"/>
      <c r="S66" s="5"/>
      <c r="T66" s="5"/>
      <c r="U66" s="5" t="s">
        <v>182</v>
      </c>
      <c r="V66" s="5" t="n">
        <v>4</v>
      </c>
      <c r="W66" s="5" t="s">
        <v>526</v>
      </c>
      <c r="X66" s="5"/>
      <c r="Y66" s="6" t="n">
        <v>338</v>
      </c>
    </row>
    <row r="67" customFormat="false" ht="46.25" hidden="false" customHeight="false" outlineLevel="0" collapsed="false">
      <c r="A67" s="5" t="s">
        <v>796</v>
      </c>
      <c r="B67" s="5" t="s">
        <v>850</v>
      </c>
      <c r="C67" s="5" t="s">
        <v>486</v>
      </c>
      <c r="D67" s="5" t="s">
        <v>487</v>
      </c>
      <c r="E67" s="5" t="s">
        <v>756</v>
      </c>
      <c r="F67" s="5"/>
      <c r="G67" s="5"/>
      <c r="H67" s="5"/>
      <c r="I67" s="5" t="s">
        <v>851</v>
      </c>
      <c r="J67" s="5" t="s">
        <v>852</v>
      </c>
      <c r="K67" s="5" t="s">
        <v>790</v>
      </c>
      <c r="L67" s="5"/>
      <c r="M67" s="5"/>
      <c r="N67" s="5"/>
      <c r="O67" s="5"/>
      <c r="P67" s="5"/>
      <c r="Q67" s="5"/>
      <c r="R67" s="5"/>
      <c r="S67" s="5"/>
      <c r="T67" s="5"/>
      <c r="U67" s="5" t="s">
        <v>182</v>
      </c>
      <c r="V67" s="5" t="n">
        <v>5</v>
      </c>
      <c r="W67" s="5" t="s">
        <v>853</v>
      </c>
      <c r="X67" s="5"/>
      <c r="Y67" s="6" t="n">
        <v>8</v>
      </c>
    </row>
    <row r="68" customFormat="false" ht="35.05" hidden="false" customHeight="false" outlineLevel="0" collapsed="false">
      <c r="A68" s="5" t="s">
        <v>250</v>
      </c>
      <c r="B68" s="5" t="s">
        <v>251</v>
      </c>
      <c r="C68" s="5" t="s">
        <v>252</v>
      </c>
      <c r="D68" s="5" t="s">
        <v>423</v>
      </c>
      <c r="E68" s="5" t="s">
        <v>516</v>
      </c>
      <c r="F68" s="5" t="n">
        <v>26</v>
      </c>
      <c r="G68" s="5" t="s">
        <v>249</v>
      </c>
      <c r="H68" s="5"/>
      <c r="I68" s="5"/>
      <c r="J68" s="5" t="s">
        <v>854</v>
      </c>
      <c r="K68" s="5" t="s">
        <v>855</v>
      </c>
      <c r="L68" s="5"/>
      <c r="M68" s="5"/>
      <c r="N68" s="5" t="s">
        <v>856</v>
      </c>
      <c r="O68" s="5"/>
      <c r="P68" s="5"/>
      <c r="Q68" s="5" t="s">
        <v>857</v>
      </c>
      <c r="R68" s="5" t="s">
        <v>858</v>
      </c>
      <c r="S68" s="5"/>
      <c r="T68" s="5"/>
      <c r="U68" s="5" t="s">
        <v>182</v>
      </c>
      <c r="V68" s="5" t="n">
        <v>33</v>
      </c>
      <c r="W68" s="5" t="s">
        <v>611</v>
      </c>
      <c r="X68" s="5" t="s">
        <v>859</v>
      </c>
      <c r="Y68" s="6" t="n">
        <v>307</v>
      </c>
    </row>
    <row r="69" customFormat="false" ht="46.25" hidden="false" customHeight="false" outlineLevel="0" collapsed="false">
      <c r="A69" s="5" t="s">
        <v>750</v>
      </c>
      <c r="B69" s="5" t="s">
        <v>860</v>
      </c>
      <c r="C69" s="5" t="s">
        <v>486</v>
      </c>
      <c r="D69" s="5" t="s">
        <v>487</v>
      </c>
      <c r="E69" s="5" t="s">
        <v>106</v>
      </c>
      <c r="F69" s="5"/>
      <c r="G69" s="5"/>
      <c r="H69" s="5"/>
      <c r="I69" s="5" t="s">
        <v>861</v>
      </c>
      <c r="J69" s="5" t="s">
        <v>862</v>
      </c>
      <c r="K69" s="5" t="s">
        <v>143</v>
      </c>
      <c r="L69" s="5"/>
      <c r="M69" s="5"/>
      <c r="N69" s="5"/>
      <c r="O69" s="5"/>
      <c r="P69" s="5"/>
      <c r="Q69" s="5"/>
      <c r="R69" s="5"/>
      <c r="S69" s="5"/>
      <c r="T69" s="5"/>
      <c r="U69" s="5"/>
      <c r="V69" s="5" t="n">
        <v>2</v>
      </c>
      <c r="W69" s="5" t="s">
        <v>863</v>
      </c>
      <c r="X69" s="5"/>
      <c r="Y69" s="6" t="n">
        <v>13</v>
      </c>
    </row>
    <row r="70" customFormat="false" ht="102.2" hidden="false" customHeight="false" outlineLevel="0" collapsed="false">
      <c r="A70" s="5" t="s">
        <v>864</v>
      </c>
      <c r="B70" s="5" t="s">
        <v>865</v>
      </c>
      <c r="C70" s="5" t="s">
        <v>486</v>
      </c>
      <c r="D70" s="5" t="s">
        <v>487</v>
      </c>
      <c r="E70" s="5" t="s">
        <v>756</v>
      </c>
      <c r="F70" s="5"/>
      <c r="G70" s="5"/>
      <c r="H70" s="5"/>
      <c r="I70" s="5" t="s">
        <v>866</v>
      </c>
      <c r="J70" s="5" t="s">
        <v>867</v>
      </c>
      <c r="K70" s="5"/>
      <c r="L70" s="5" t="s">
        <v>868</v>
      </c>
      <c r="M70" s="5"/>
      <c r="N70" s="5" t="s">
        <v>869</v>
      </c>
      <c r="O70" s="5"/>
      <c r="P70" s="5"/>
      <c r="Q70" s="5"/>
      <c r="R70" s="5"/>
      <c r="S70" s="5"/>
      <c r="T70" s="5"/>
      <c r="U70" s="5" t="s">
        <v>182</v>
      </c>
      <c r="V70" s="5" t="n">
        <v>1</v>
      </c>
      <c r="W70" s="5" t="s">
        <v>526</v>
      </c>
      <c r="X70" s="5"/>
      <c r="Y70" s="6" t="n">
        <v>303</v>
      </c>
    </row>
    <row r="71" customFormat="false" ht="79.85" hidden="false" customHeight="false" outlineLevel="0" collapsed="false">
      <c r="A71" s="5" t="s">
        <v>868</v>
      </c>
      <c r="B71" s="5" t="s">
        <v>870</v>
      </c>
      <c r="C71" s="5" t="s">
        <v>486</v>
      </c>
      <c r="D71" s="5" t="s">
        <v>487</v>
      </c>
      <c r="E71" s="5" t="s">
        <v>756</v>
      </c>
      <c r="F71" s="5"/>
      <c r="G71" s="5" t="s">
        <v>871</v>
      </c>
      <c r="H71" s="5"/>
      <c r="I71" s="5" t="s">
        <v>872</v>
      </c>
      <c r="J71" s="5" t="s">
        <v>873</v>
      </c>
      <c r="K71" s="5" t="s">
        <v>874</v>
      </c>
      <c r="L71" s="5"/>
      <c r="M71" s="5" t="s">
        <v>875</v>
      </c>
      <c r="N71" s="5" t="s">
        <v>876</v>
      </c>
      <c r="O71" s="5"/>
      <c r="P71" s="5"/>
      <c r="Q71" s="5" t="s">
        <v>877</v>
      </c>
      <c r="R71" s="5" t="s">
        <v>878</v>
      </c>
      <c r="S71" s="5"/>
      <c r="T71" s="5"/>
      <c r="U71" s="5" t="s">
        <v>182</v>
      </c>
      <c r="V71" s="5" t="n">
        <v>6</v>
      </c>
      <c r="W71" s="5" t="s">
        <v>522</v>
      </c>
      <c r="X71" s="5"/>
      <c r="Y71" s="6" t="n">
        <v>1448</v>
      </c>
    </row>
    <row r="72" customFormat="false" ht="113.4" hidden="false" customHeight="false" outlineLevel="0" collapsed="false">
      <c r="A72" s="5" t="s">
        <v>879</v>
      </c>
      <c r="B72" s="5" t="s">
        <v>880</v>
      </c>
      <c r="C72" s="5" t="s">
        <v>486</v>
      </c>
      <c r="D72" s="5" t="s">
        <v>487</v>
      </c>
      <c r="E72" s="5" t="s">
        <v>756</v>
      </c>
      <c r="F72" s="5"/>
      <c r="G72" s="5" t="s">
        <v>881</v>
      </c>
      <c r="H72" s="5"/>
      <c r="I72" s="5" t="s">
        <v>882</v>
      </c>
      <c r="J72" s="5" t="s">
        <v>883</v>
      </c>
      <c r="K72" s="5" t="s">
        <v>884</v>
      </c>
      <c r="L72" s="5"/>
      <c r="M72" s="5"/>
      <c r="N72" s="5" t="s">
        <v>885</v>
      </c>
      <c r="O72" s="5"/>
      <c r="P72" s="5"/>
      <c r="Q72" s="5" t="s">
        <v>886</v>
      </c>
      <c r="R72" s="5" t="s">
        <v>887</v>
      </c>
      <c r="S72" s="5" t="s">
        <v>888</v>
      </c>
      <c r="T72" s="5"/>
      <c r="U72" s="5" t="s">
        <v>182</v>
      </c>
      <c r="V72" s="5" t="n">
        <v>4</v>
      </c>
      <c r="W72" s="5" t="s">
        <v>889</v>
      </c>
      <c r="X72" s="5"/>
      <c r="Y72" s="6" t="n">
        <v>973</v>
      </c>
    </row>
    <row r="73" customFormat="false" ht="135.8" hidden="false" customHeight="false" outlineLevel="0" collapsed="false">
      <c r="A73" s="5" t="s">
        <v>775</v>
      </c>
      <c r="B73" s="5" t="s">
        <v>890</v>
      </c>
      <c r="C73" s="5" t="s">
        <v>486</v>
      </c>
      <c r="D73" s="5" t="s">
        <v>487</v>
      </c>
      <c r="E73" s="5" t="s">
        <v>756</v>
      </c>
      <c r="F73" s="5"/>
      <c r="G73" s="5" t="s">
        <v>891</v>
      </c>
      <c r="H73" s="5"/>
      <c r="I73" s="5" t="s">
        <v>892</v>
      </c>
      <c r="J73" s="5" t="s">
        <v>893</v>
      </c>
      <c r="K73" s="5" t="s">
        <v>894</v>
      </c>
      <c r="L73" s="5"/>
      <c r="M73" s="5" t="s">
        <v>895</v>
      </c>
      <c r="N73" s="5" t="s">
        <v>896</v>
      </c>
      <c r="O73" s="5" t="s">
        <v>897</v>
      </c>
      <c r="P73" s="5"/>
      <c r="Q73" s="5" t="s">
        <v>732</v>
      </c>
      <c r="R73" s="5"/>
      <c r="S73" s="5" t="s">
        <v>637</v>
      </c>
      <c r="T73" s="5"/>
      <c r="U73" s="5" t="s">
        <v>182</v>
      </c>
      <c r="V73" s="5" t="n">
        <v>23</v>
      </c>
      <c r="W73" s="5" t="s">
        <v>898</v>
      </c>
      <c r="X73" s="5" t="s">
        <v>484</v>
      </c>
      <c r="Y73" s="6" t="n">
        <v>2237</v>
      </c>
    </row>
    <row r="74" customFormat="false" ht="35.05" hidden="false" customHeight="false" outlineLevel="0" collapsed="false">
      <c r="A74" s="5" t="s">
        <v>899</v>
      </c>
      <c r="B74" s="5" t="s">
        <v>900</v>
      </c>
      <c r="C74" s="5" t="s">
        <v>486</v>
      </c>
      <c r="D74" s="5" t="s">
        <v>487</v>
      </c>
      <c r="E74" s="5" t="s">
        <v>756</v>
      </c>
      <c r="F74" s="5"/>
      <c r="G74" s="5"/>
      <c r="H74" s="5"/>
      <c r="I74" s="5"/>
      <c r="J74" s="5" t="s">
        <v>901</v>
      </c>
      <c r="K74" s="5" t="s">
        <v>902</v>
      </c>
      <c r="L74" s="5" t="s">
        <v>775</v>
      </c>
      <c r="M74" s="5"/>
      <c r="N74" s="5" t="s">
        <v>903</v>
      </c>
      <c r="O74" s="5" t="s">
        <v>904</v>
      </c>
      <c r="P74" s="5"/>
      <c r="Q74" s="5"/>
      <c r="R74" s="5"/>
      <c r="S74" s="5" t="s">
        <v>553</v>
      </c>
      <c r="T74" s="5"/>
      <c r="U74" s="5" t="s">
        <v>182</v>
      </c>
      <c r="V74" s="5" t="n">
        <v>11</v>
      </c>
      <c r="W74" s="5" t="s">
        <v>713</v>
      </c>
      <c r="X74" s="5"/>
      <c r="Y74" s="6" t="n">
        <v>749</v>
      </c>
    </row>
    <row r="75" customFormat="false" ht="102.2" hidden="false" customHeight="false" outlineLevel="0" collapsed="false">
      <c r="A75" s="5" t="s">
        <v>905</v>
      </c>
      <c r="B75" s="5" t="s">
        <v>906</v>
      </c>
      <c r="C75" s="5" t="s">
        <v>486</v>
      </c>
      <c r="D75" s="5" t="s">
        <v>487</v>
      </c>
      <c r="E75" s="5" t="s">
        <v>756</v>
      </c>
      <c r="F75" s="5"/>
      <c r="G75" s="5"/>
      <c r="H75" s="5"/>
      <c r="I75" s="5" t="s">
        <v>907</v>
      </c>
      <c r="J75" s="5" t="s">
        <v>908</v>
      </c>
      <c r="K75" s="5" t="s">
        <v>909</v>
      </c>
      <c r="L75" s="5" t="s">
        <v>775</v>
      </c>
      <c r="M75" s="5"/>
      <c r="N75" s="5"/>
      <c r="O75" s="5"/>
      <c r="P75" s="5" t="s">
        <v>910</v>
      </c>
      <c r="Q75" s="5"/>
      <c r="R75" s="5"/>
      <c r="S75" s="5"/>
      <c r="T75" s="5"/>
      <c r="U75" s="5" t="s">
        <v>182</v>
      </c>
      <c r="V75" s="5" t="n">
        <v>3</v>
      </c>
      <c r="W75" s="5" t="s">
        <v>526</v>
      </c>
      <c r="X75" s="5"/>
      <c r="Y75" s="6" t="n">
        <v>501</v>
      </c>
    </row>
    <row r="76" customFormat="false" ht="102.2" hidden="false" customHeight="false" outlineLevel="0" collapsed="false">
      <c r="A76" s="5" t="s">
        <v>911</v>
      </c>
      <c r="B76" s="5" t="s">
        <v>912</v>
      </c>
      <c r="C76" s="5" t="s">
        <v>486</v>
      </c>
      <c r="D76" s="5" t="s">
        <v>487</v>
      </c>
      <c r="E76" s="5" t="s">
        <v>756</v>
      </c>
      <c r="F76" s="5"/>
      <c r="G76" s="5" t="s">
        <v>913</v>
      </c>
      <c r="H76" s="5"/>
      <c r="I76" s="5" t="s">
        <v>914</v>
      </c>
      <c r="J76" s="5" t="s">
        <v>915</v>
      </c>
      <c r="K76" s="5" t="s">
        <v>543</v>
      </c>
      <c r="L76" s="5"/>
      <c r="M76" s="5"/>
      <c r="N76" s="5"/>
      <c r="O76" s="5"/>
      <c r="P76" s="5"/>
      <c r="Q76" s="5"/>
      <c r="R76" s="5"/>
      <c r="S76" s="5"/>
      <c r="T76" s="5"/>
      <c r="U76" s="5" t="s">
        <v>182</v>
      </c>
      <c r="V76" s="5" t="n">
        <v>1</v>
      </c>
      <c r="W76" s="5" t="s">
        <v>526</v>
      </c>
      <c r="X76" s="5"/>
      <c r="Y76" s="6" t="n">
        <v>224</v>
      </c>
    </row>
    <row r="77" customFormat="false" ht="91" hidden="false" customHeight="false" outlineLevel="0" collapsed="false">
      <c r="A77" s="5" t="s">
        <v>916</v>
      </c>
      <c r="B77" s="5" t="s">
        <v>917</v>
      </c>
      <c r="C77" s="5" t="s">
        <v>486</v>
      </c>
      <c r="D77" s="5" t="s">
        <v>487</v>
      </c>
      <c r="E77" s="5" t="s">
        <v>756</v>
      </c>
      <c r="F77" s="5"/>
      <c r="G77" s="5" t="s">
        <v>918</v>
      </c>
      <c r="H77" s="5"/>
      <c r="I77" s="5" t="s">
        <v>919</v>
      </c>
      <c r="J77" s="5" t="s">
        <v>920</v>
      </c>
      <c r="K77" s="5" t="s">
        <v>921</v>
      </c>
      <c r="L77" s="5"/>
      <c r="M77" s="5" t="s">
        <v>922</v>
      </c>
      <c r="N77" s="5" t="s">
        <v>923</v>
      </c>
      <c r="O77" s="5"/>
      <c r="P77" s="5"/>
      <c r="Q77" s="5" t="s">
        <v>886</v>
      </c>
      <c r="R77" s="5"/>
      <c r="S77" s="5"/>
      <c r="T77" s="5"/>
      <c r="U77" s="5" t="s">
        <v>182</v>
      </c>
      <c r="V77" s="5" t="n">
        <v>1</v>
      </c>
      <c r="W77" s="5" t="s">
        <v>526</v>
      </c>
      <c r="X77" s="5"/>
      <c r="Y77" s="6" t="n">
        <v>2103</v>
      </c>
    </row>
    <row r="78" customFormat="false" ht="35.05" hidden="false" customHeight="false" outlineLevel="0" collapsed="false">
      <c r="A78" s="5" t="s">
        <v>924</v>
      </c>
      <c r="B78" s="5" t="s">
        <v>925</v>
      </c>
      <c r="C78" s="5" t="s">
        <v>479</v>
      </c>
      <c r="D78" s="5" t="s">
        <v>480</v>
      </c>
      <c r="E78" s="5" t="s">
        <v>512</v>
      </c>
      <c r="F78" s="5"/>
      <c r="G78" s="5"/>
      <c r="H78" s="5"/>
      <c r="I78" s="5" t="s">
        <v>926</v>
      </c>
      <c r="J78" s="5" t="s">
        <v>927</v>
      </c>
      <c r="K78" s="5" t="s">
        <v>928</v>
      </c>
      <c r="L78" s="5" t="s">
        <v>929</v>
      </c>
      <c r="M78" s="5"/>
      <c r="N78" s="5"/>
      <c r="O78" s="5"/>
      <c r="P78" s="5"/>
      <c r="Q78" s="5"/>
      <c r="R78" s="5"/>
      <c r="S78" s="5" t="s">
        <v>930</v>
      </c>
      <c r="T78" s="5"/>
      <c r="U78" s="5" t="s">
        <v>182</v>
      </c>
      <c r="V78" s="5" t="n">
        <v>1</v>
      </c>
      <c r="W78" s="5" t="s">
        <v>526</v>
      </c>
      <c r="X78" s="5"/>
      <c r="Y78" s="6" t="n">
        <v>82</v>
      </c>
    </row>
    <row r="79" customFormat="false" ht="102.2" hidden="false" customHeight="false" outlineLevel="0" collapsed="false">
      <c r="A79" s="5" t="s">
        <v>931</v>
      </c>
      <c r="B79" s="5" t="s">
        <v>932</v>
      </c>
      <c r="C79" s="5" t="s">
        <v>486</v>
      </c>
      <c r="D79" s="5" t="s">
        <v>487</v>
      </c>
      <c r="E79" s="5" t="s">
        <v>756</v>
      </c>
      <c r="F79" s="5"/>
      <c r="G79" s="5"/>
      <c r="H79" s="5"/>
      <c r="I79" s="5" t="s">
        <v>933</v>
      </c>
      <c r="J79" s="5" t="s">
        <v>934</v>
      </c>
      <c r="K79" s="5" t="s">
        <v>935</v>
      </c>
      <c r="L79" s="5" t="s">
        <v>775</v>
      </c>
      <c r="M79" s="5" t="s">
        <v>786</v>
      </c>
      <c r="N79" s="5"/>
      <c r="O79" s="5" t="s">
        <v>936</v>
      </c>
      <c r="P79" s="5"/>
      <c r="Q79" s="5"/>
      <c r="R79" s="5"/>
      <c r="S79" s="5" t="s">
        <v>937</v>
      </c>
      <c r="T79" s="5"/>
      <c r="U79" s="5" t="s">
        <v>182</v>
      </c>
      <c r="V79" s="5" t="n">
        <v>2</v>
      </c>
      <c r="W79" s="5" t="s">
        <v>526</v>
      </c>
      <c r="X79" s="5"/>
      <c r="Y79" s="6" t="n">
        <v>866</v>
      </c>
    </row>
    <row r="80" customFormat="false" ht="35.05" hidden="false" customHeight="false" outlineLevel="0" collapsed="false">
      <c r="A80" s="5" t="s">
        <v>938</v>
      </c>
      <c r="B80" s="5" t="s">
        <v>939</v>
      </c>
      <c r="C80" s="5" t="s">
        <v>486</v>
      </c>
      <c r="D80" s="5" t="s">
        <v>487</v>
      </c>
      <c r="E80" s="5" t="s">
        <v>756</v>
      </c>
      <c r="F80" s="5"/>
      <c r="G80" s="5"/>
      <c r="H80" s="5"/>
      <c r="I80" s="5"/>
      <c r="J80" s="5" t="s">
        <v>940</v>
      </c>
      <c r="K80" s="5" t="s">
        <v>804</v>
      </c>
      <c r="L80" s="5" t="s">
        <v>941</v>
      </c>
      <c r="M80" s="5"/>
      <c r="N80" s="5"/>
      <c r="O80" s="5"/>
      <c r="P80" s="5"/>
      <c r="Q80" s="5"/>
      <c r="R80" s="5"/>
      <c r="S80" s="5"/>
      <c r="T80" s="5"/>
      <c r="U80" s="5" t="s">
        <v>182</v>
      </c>
      <c r="V80" s="5" t="n">
        <v>2</v>
      </c>
      <c r="W80" s="5" t="s">
        <v>526</v>
      </c>
      <c r="X80" s="5"/>
      <c r="Y80" s="6" t="n">
        <v>260</v>
      </c>
    </row>
    <row r="81" customFormat="false" ht="35.05" hidden="false" customHeight="false" outlineLevel="0" collapsed="false">
      <c r="A81" s="5" t="s">
        <v>942</v>
      </c>
      <c r="B81" s="5" t="s">
        <v>943</v>
      </c>
      <c r="C81" s="5" t="s">
        <v>486</v>
      </c>
      <c r="D81" s="5" t="s">
        <v>487</v>
      </c>
      <c r="E81" s="5" t="s">
        <v>756</v>
      </c>
      <c r="F81" s="5"/>
      <c r="G81" s="5"/>
      <c r="H81" s="5"/>
      <c r="I81" s="5"/>
      <c r="J81" s="5" t="s">
        <v>944</v>
      </c>
      <c r="K81" s="5"/>
      <c r="L81" s="5" t="s">
        <v>775</v>
      </c>
      <c r="M81" s="5" t="s">
        <v>945</v>
      </c>
      <c r="N81" s="5" t="s">
        <v>946</v>
      </c>
      <c r="O81" s="5" t="s">
        <v>947</v>
      </c>
      <c r="P81" s="5"/>
      <c r="Q81" s="5"/>
      <c r="R81" s="5"/>
      <c r="S81" s="5"/>
      <c r="T81" s="5"/>
      <c r="U81" s="5" t="s">
        <v>182</v>
      </c>
      <c r="V81" s="5" t="n">
        <v>2</v>
      </c>
      <c r="W81" s="5" t="s">
        <v>526</v>
      </c>
      <c r="X81" s="5"/>
      <c r="Y81" s="6" t="n">
        <v>122</v>
      </c>
    </row>
    <row r="82" customFormat="false" ht="102.2" hidden="false" customHeight="false" outlineLevel="0" collapsed="false">
      <c r="A82" s="5" t="s">
        <v>948</v>
      </c>
      <c r="B82" s="5" t="s">
        <v>949</v>
      </c>
      <c r="C82" s="5" t="s">
        <v>486</v>
      </c>
      <c r="D82" s="5" t="s">
        <v>487</v>
      </c>
      <c r="E82" s="5" t="s">
        <v>756</v>
      </c>
      <c r="F82" s="5"/>
      <c r="G82" s="5" t="s">
        <v>950</v>
      </c>
      <c r="H82" s="5"/>
      <c r="I82" s="5" t="s">
        <v>951</v>
      </c>
      <c r="J82" s="5" t="s">
        <v>952</v>
      </c>
      <c r="K82" s="5" t="s">
        <v>953</v>
      </c>
      <c r="L82" s="5"/>
      <c r="M82" s="5" t="s">
        <v>954</v>
      </c>
      <c r="N82" s="5" t="s">
        <v>955</v>
      </c>
      <c r="O82" s="5"/>
      <c r="P82" s="5"/>
      <c r="Q82" s="5" t="s">
        <v>956</v>
      </c>
      <c r="R82" s="5"/>
      <c r="S82" s="5" t="s">
        <v>957</v>
      </c>
      <c r="T82" s="5"/>
      <c r="U82" s="5" t="s">
        <v>182</v>
      </c>
      <c r="V82" s="5" t="n">
        <v>1</v>
      </c>
      <c r="W82" s="5" t="s">
        <v>526</v>
      </c>
      <c r="X82" s="5"/>
      <c r="Y82" s="6" t="n">
        <v>2769</v>
      </c>
    </row>
    <row r="83" customFormat="false" ht="102.2" hidden="false" customHeight="false" outlineLevel="0" collapsed="false">
      <c r="A83" s="5" t="s">
        <v>958</v>
      </c>
      <c r="B83" s="5" t="s">
        <v>959</v>
      </c>
      <c r="C83" s="5" t="s">
        <v>486</v>
      </c>
      <c r="D83" s="5" t="s">
        <v>487</v>
      </c>
      <c r="E83" s="5" t="s">
        <v>756</v>
      </c>
      <c r="F83" s="5"/>
      <c r="G83" s="5" t="s">
        <v>960</v>
      </c>
      <c r="H83" s="5"/>
      <c r="I83" s="5" t="s">
        <v>961</v>
      </c>
      <c r="J83" s="5" t="s">
        <v>962</v>
      </c>
      <c r="K83" s="5" t="s">
        <v>963</v>
      </c>
      <c r="L83" s="5"/>
      <c r="M83" s="5"/>
      <c r="N83" s="5"/>
      <c r="O83" s="5"/>
      <c r="P83" s="5"/>
      <c r="Q83" s="5"/>
      <c r="R83" s="5"/>
      <c r="S83" s="5"/>
      <c r="T83" s="5"/>
      <c r="U83" s="5" t="s">
        <v>182</v>
      </c>
      <c r="V83" s="5" t="n">
        <v>1</v>
      </c>
      <c r="W83" s="5" t="s">
        <v>526</v>
      </c>
      <c r="X83" s="5"/>
      <c r="Y83" s="6" t="n">
        <v>321</v>
      </c>
    </row>
    <row r="84" customFormat="false" ht="102.2" hidden="false" customHeight="false" outlineLevel="0" collapsed="false">
      <c r="A84" s="5" t="s">
        <v>964</v>
      </c>
      <c r="B84" s="5" t="s">
        <v>965</v>
      </c>
      <c r="C84" s="5" t="s">
        <v>479</v>
      </c>
      <c r="D84" s="5" t="s">
        <v>480</v>
      </c>
      <c r="E84" s="5" t="s">
        <v>512</v>
      </c>
      <c r="F84" s="5"/>
      <c r="G84" s="5"/>
      <c r="H84" s="5"/>
      <c r="I84" s="5" t="s">
        <v>966</v>
      </c>
      <c r="J84" s="5" t="s">
        <v>967</v>
      </c>
      <c r="K84" s="5" t="s">
        <v>849</v>
      </c>
      <c r="L84" s="5" t="s">
        <v>968</v>
      </c>
      <c r="M84" s="5"/>
      <c r="N84" s="5"/>
      <c r="O84" s="5"/>
      <c r="P84" s="5"/>
      <c r="Q84" s="5"/>
      <c r="R84" s="5"/>
      <c r="S84" s="5"/>
      <c r="T84" s="5"/>
      <c r="U84" s="5" t="s">
        <v>182</v>
      </c>
      <c r="V84" s="5" t="n">
        <v>1</v>
      </c>
      <c r="W84" s="5" t="s">
        <v>526</v>
      </c>
      <c r="X84" s="5"/>
      <c r="Y84" s="6" t="n">
        <v>584</v>
      </c>
    </row>
    <row r="85" customFormat="false" ht="102.2" hidden="false" customHeight="false" outlineLevel="0" collapsed="false">
      <c r="A85" s="5" t="s">
        <v>969</v>
      </c>
      <c r="B85" s="5" t="s">
        <v>970</v>
      </c>
      <c r="C85" s="5" t="s">
        <v>486</v>
      </c>
      <c r="D85" s="5" t="s">
        <v>487</v>
      </c>
      <c r="E85" s="5" t="s">
        <v>106</v>
      </c>
      <c r="F85" s="5"/>
      <c r="G85" s="5" t="s">
        <v>971</v>
      </c>
      <c r="H85" s="5"/>
      <c r="I85" s="5" t="s">
        <v>972</v>
      </c>
      <c r="J85" s="5" t="s">
        <v>973</v>
      </c>
      <c r="K85" s="5" t="s">
        <v>974</v>
      </c>
      <c r="L85" s="5"/>
      <c r="M85" s="5"/>
      <c r="N85" s="5"/>
      <c r="O85" s="5"/>
      <c r="P85" s="5"/>
      <c r="Q85" s="5" t="s">
        <v>886</v>
      </c>
      <c r="R85" s="5"/>
      <c r="S85" s="5"/>
      <c r="T85" s="5"/>
      <c r="U85" s="5"/>
      <c r="V85" s="5" t="n">
        <v>1</v>
      </c>
      <c r="W85" s="5" t="s">
        <v>526</v>
      </c>
      <c r="X85" s="5"/>
      <c r="Y85" s="6" t="n">
        <v>478</v>
      </c>
    </row>
    <row r="86" customFormat="false" ht="46.25" hidden="false" customHeight="false" outlineLevel="0" collapsed="false">
      <c r="A86" s="5" t="s">
        <v>819</v>
      </c>
      <c r="B86" s="5" t="s">
        <v>975</v>
      </c>
      <c r="C86" s="5" t="s">
        <v>479</v>
      </c>
      <c r="D86" s="5" t="s">
        <v>480</v>
      </c>
      <c r="E86" s="5" t="s">
        <v>512</v>
      </c>
      <c r="F86" s="5"/>
      <c r="G86" s="5"/>
      <c r="H86" s="5"/>
      <c r="I86" s="5"/>
      <c r="J86" s="5" t="s">
        <v>976</v>
      </c>
      <c r="K86" s="5" t="s">
        <v>977</v>
      </c>
      <c r="L86" s="5" t="s">
        <v>978</v>
      </c>
      <c r="M86" s="5" t="s">
        <v>979</v>
      </c>
      <c r="N86" s="5" t="s">
        <v>980</v>
      </c>
      <c r="O86" s="5"/>
      <c r="P86" s="5"/>
      <c r="Q86" s="5" t="s">
        <v>776</v>
      </c>
      <c r="R86" s="5"/>
      <c r="S86" s="5" t="s">
        <v>981</v>
      </c>
      <c r="T86" s="5"/>
      <c r="U86" s="5" t="s">
        <v>182</v>
      </c>
      <c r="V86" s="5" t="n">
        <v>15</v>
      </c>
      <c r="W86" s="5" t="s">
        <v>889</v>
      </c>
      <c r="X86" s="5" t="s">
        <v>484</v>
      </c>
      <c r="Y86" s="6" t="n">
        <v>1744</v>
      </c>
    </row>
    <row r="87" customFormat="false" ht="46.25" hidden="false" customHeight="false" outlineLevel="0" collapsed="false">
      <c r="A87" s="5" t="s">
        <v>982</v>
      </c>
      <c r="B87" s="5" t="s">
        <v>983</v>
      </c>
      <c r="C87" s="5" t="s">
        <v>479</v>
      </c>
      <c r="D87" s="5" t="s">
        <v>480</v>
      </c>
      <c r="E87" s="5" t="s">
        <v>512</v>
      </c>
      <c r="F87" s="5"/>
      <c r="G87" s="5"/>
      <c r="H87" s="5"/>
      <c r="I87" s="5" t="s">
        <v>984</v>
      </c>
      <c r="J87" s="5" t="s">
        <v>985</v>
      </c>
      <c r="K87" s="5" t="s">
        <v>986</v>
      </c>
      <c r="L87" s="5" t="s">
        <v>987</v>
      </c>
      <c r="M87" s="5"/>
      <c r="N87" s="5"/>
      <c r="O87" s="5"/>
      <c r="P87" s="5"/>
      <c r="Q87" s="5"/>
      <c r="R87" s="5"/>
      <c r="S87" s="5"/>
      <c r="T87" s="5"/>
      <c r="U87" s="5" t="s">
        <v>182</v>
      </c>
      <c r="V87" s="5" t="n">
        <v>2</v>
      </c>
      <c r="W87" s="5" t="s">
        <v>526</v>
      </c>
      <c r="X87" s="5"/>
      <c r="Y87" s="6" t="n">
        <v>352</v>
      </c>
    </row>
    <row r="88" customFormat="false" ht="46.25" hidden="false" customHeight="false" outlineLevel="0" collapsed="false">
      <c r="A88" s="5" t="s">
        <v>988</v>
      </c>
      <c r="B88" s="5" t="s">
        <v>989</v>
      </c>
      <c r="C88" s="5" t="s">
        <v>199</v>
      </c>
      <c r="D88" s="5" t="s">
        <v>451</v>
      </c>
      <c r="E88" s="5" t="s">
        <v>512</v>
      </c>
      <c r="F88" s="5"/>
      <c r="G88" s="5"/>
      <c r="H88" s="5"/>
      <c r="I88" s="5" t="s">
        <v>990</v>
      </c>
      <c r="J88" s="5" t="s">
        <v>991</v>
      </c>
      <c r="K88" s="5" t="s">
        <v>543</v>
      </c>
      <c r="L88" s="5" t="s">
        <v>819</v>
      </c>
      <c r="M88" s="5"/>
      <c r="N88" s="5"/>
      <c r="O88" s="5"/>
      <c r="P88" s="5"/>
      <c r="Q88" s="5"/>
      <c r="R88" s="5"/>
      <c r="S88" s="5"/>
      <c r="T88" s="5"/>
      <c r="U88" s="5" t="s">
        <v>182</v>
      </c>
      <c r="V88" s="5" t="n">
        <v>1</v>
      </c>
      <c r="W88" s="5" t="s">
        <v>526</v>
      </c>
      <c r="X88" s="5"/>
      <c r="Y88" s="6" t="n">
        <v>297</v>
      </c>
    </row>
    <row r="89" customFormat="false" ht="102.2" hidden="false" customHeight="false" outlineLevel="0" collapsed="false">
      <c r="A89" s="5" t="s">
        <v>992</v>
      </c>
      <c r="B89" s="5" t="s">
        <v>993</v>
      </c>
      <c r="C89" s="5" t="s">
        <v>486</v>
      </c>
      <c r="D89" s="5" t="s">
        <v>487</v>
      </c>
      <c r="E89" s="5" t="s">
        <v>106</v>
      </c>
      <c r="F89" s="5"/>
      <c r="G89" s="5" t="s">
        <v>994</v>
      </c>
      <c r="H89" s="5"/>
      <c r="I89" s="5" t="s">
        <v>995</v>
      </c>
      <c r="J89" s="5" t="s">
        <v>996</v>
      </c>
      <c r="K89" s="5" t="s">
        <v>928</v>
      </c>
      <c r="L89" s="5"/>
      <c r="M89" s="5"/>
      <c r="N89" s="5"/>
      <c r="O89" s="5"/>
      <c r="P89" s="5"/>
      <c r="Q89" s="5"/>
      <c r="R89" s="5"/>
      <c r="S89" s="5" t="s">
        <v>997</v>
      </c>
      <c r="T89" s="5"/>
      <c r="U89" s="5"/>
      <c r="V89" s="5" t="n">
        <v>1</v>
      </c>
      <c r="W89" s="5" t="s">
        <v>526</v>
      </c>
      <c r="X89" s="5"/>
      <c r="Y89" s="6" t="n">
        <v>268</v>
      </c>
    </row>
    <row r="90" customFormat="false" ht="35.05" hidden="false" customHeight="false" outlineLevel="0" collapsed="false">
      <c r="A90" s="5" t="s">
        <v>998</v>
      </c>
      <c r="B90" s="5" t="s">
        <v>999</v>
      </c>
      <c r="C90" s="5" t="s">
        <v>150</v>
      </c>
      <c r="D90" s="5" t="s">
        <v>417</v>
      </c>
      <c r="E90" s="5" t="s">
        <v>512</v>
      </c>
      <c r="F90" s="5"/>
      <c r="G90" s="5"/>
      <c r="H90" s="5"/>
      <c r="I90" s="5" t="s">
        <v>1000</v>
      </c>
      <c r="J90" s="5" t="s">
        <v>1001</v>
      </c>
      <c r="K90" s="5" t="s">
        <v>1002</v>
      </c>
      <c r="L90" s="5" t="s">
        <v>1003</v>
      </c>
      <c r="M90" s="5"/>
      <c r="N90" s="5" t="s">
        <v>751</v>
      </c>
      <c r="O90" s="5"/>
      <c r="P90" s="5"/>
      <c r="Q90" s="5"/>
      <c r="R90" s="5"/>
      <c r="S90" s="5"/>
      <c r="T90" s="5"/>
      <c r="U90" s="5" t="s">
        <v>182</v>
      </c>
      <c r="V90" s="5" t="n">
        <v>2</v>
      </c>
      <c r="W90" s="5" t="s">
        <v>1004</v>
      </c>
      <c r="X90" s="5" t="s">
        <v>358</v>
      </c>
      <c r="Y90" s="6" t="n">
        <v>87</v>
      </c>
    </row>
    <row r="91" customFormat="false" ht="46.25" hidden="false" customHeight="false" outlineLevel="0" collapsed="false">
      <c r="A91" s="5" t="s">
        <v>1005</v>
      </c>
      <c r="B91" s="5" t="s">
        <v>1006</v>
      </c>
      <c r="C91" s="5" t="s">
        <v>145</v>
      </c>
      <c r="D91" s="5" t="s">
        <v>411</v>
      </c>
      <c r="E91" s="5" t="s">
        <v>512</v>
      </c>
      <c r="F91" s="5"/>
      <c r="G91" s="5"/>
      <c r="H91" s="5"/>
      <c r="I91" s="5" t="s">
        <v>1007</v>
      </c>
      <c r="J91" s="5" t="s">
        <v>1008</v>
      </c>
      <c r="K91" s="5" t="s">
        <v>1009</v>
      </c>
      <c r="L91" s="5" t="s">
        <v>1010</v>
      </c>
      <c r="M91" s="5"/>
      <c r="N91" s="5"/>
      <c r="O91" s="5" t="s">
        <v>1011</v>
      </c>
      <c r="P91" s="5"/>
      <c r="Q91" s="5"/>
      <c r="R91" s="5"/>
      <c r="S91" s="5"/>
      <c r="T91" s="5"/>
      <c r="U91" s="5" t="s">
        <v>182</v>
      </c>
      <c r="V91" s="5" t="n">
        <v>2</v>
      </c>
      <c r="W91" s="5" t="s">
        <v>853</v>
      </c>
      <c r="X91" s="5"/>
      <c r="Y91" s="6" t="n">
        <v>222</v>
      </c>
    </row>
    <row r="92" customFormat="false" ht="46.25" hidden="false" customHeight="false" outlineLevel="0" collapsed="false">
      <c r="A92" s="5" t="s">
        <v>1012</v>
      </c>
      <c r="B92" s="5" t="s">
        <v>1013</v>
      </c>
      <c r="C92" s="5" t="s">
        <v>145</v>
      </c>
      <c r="D92" s="5" t="s">
        <v>411</v>
      </c>
      <c r="E92" s="5" t="s">
        <v>512</v>
      </c>
      <c r="F92" s="5"/>
      <c r="G92" s="5"/>
      <c r="H92" s="5"/>
      <c r="I92" s="5" t="s">
        <v>1014</v>
      </c>
      <c r="J92" s="5" t="s">
        <v>1015</v>
      </c>
      <c r="K92" s="5" t="s">
        <v>1016</v>
      </c>
      <c r="L92" s="5" t="s">
        <v>1017</v>
      </c>
      <c r="M92" s="5"/>
      <c r="N92" s="5" t="s">
        <v>1018</v>
      </c>
      <c r="O92" s="5"/>
      <c r="P92" s="5"/>
      <c r="Q92" s="5"/>
      <c r="R92" s="5"/>
      <c r="S92" s="5"/>
      <c r="T92" s="5"/>
      <c r="U92" s="5" t="s">
        <v>182</v>
      </c>
      <c r="V92" s="5" t="n">
        <v>2</v>
      </c>
      <c r="W92" s="5" t="s">
        <v>1019</v>
      </c>
      <c r="X92" s="5"/>
      <c r="Y92" s="6" t="n">
        <v>219</v>
      </c>
    </row>
    <row r="93" customFormat="false" ht="35.05" hidden="false" customHeight="false" outlineLevel="0" collapsed="false">
      <c r="A93" s="5" t="s">
        <v>1020</v>
      </c>
      <c r="B93" s="5" t="s">
        <v>1021</v>
      </c>
      <c r="C93" s="5" t="s">
        <v>145</v>
      </c>
      <c r="D93" s="5" t="s">
        <v>411</v>
      </c>
      <c r="E93" s="5" t="s">
        <v>512</v>
      </c>
      <c r="F93" s="5"/>
      <c r="G93" s="5"/>
      <c r="H93" s="5"/>
      <c r="I93" s="5" t="s">
        <v>1022</v>
      </c>
      <c r="J93" s="5" t="s">
        <v>1023</v>
      </c>
      <c r="K93" s="5" t="s">
        <v>543</v>
      </c>
      <c r="L93" s="5" t="s">
        <v>1024</v>
      </c>
      <c r="M93" s="5"/>
      <c r="N93" s="5" t="s">
        <v>1025</v>
      </c>
      <c r="O93" s="5"/>
      <c r="P93" s="5"/>
      <c r="Q93" s="5"/>
      <c r="R93" s="5"/>
      <c r="S93" s="5"/>
      <c r="T93" s="5"/>
      <c r="U93" s="5" t="s">
        <v>182</v>
      </c>
      <c r="V93" s="5" t="n">
        <v>2</v>
      </c>
      <c r="W93" s="5" t="s">
        <v>734</v>
      </c>
      <c r="X93" s="5"/>
      <c r="Y93" s="6" t="n">
        <v>162</v>
      </c>
    </row>
    <row r="94" customFormat="false" ht="102.2" hidden="false" customHeight="false" outlineLevel="0" collapsed="false">
      <c r="A94" s="5" t="s">
        <v>1026</v>
      </c>
      <c r="B94" s="5" t="s">
        <v>1027</v>
      </c>
      <c r="C94" s="5" t="s">
        <v>168</v>
      </c>
      <c r="D94" s="5" t="s">
        <v>433</v>
      </c>
      <c r="E94" s="5" t="s">
        <v>512</v>
      </c>
      <c r="F94" s="5"/>
      <c r="G94" s="5"/>
      <c r="H94" s="5"/>
      <c r="I94" s="5" t="s">
        <v>1028</v>
      </c>
      <c r="J94" s="5" t="s">
        <v>1029</v>
      </c>
      <c r="K94" s="5" t="s">
        <v>1030</v>
      </c>
      <c r="L94" s="5" t="s">
        <v>821</v>
      </c>
      <c r="M94" s="5"/>
      <c r="N94" s="5" t="s">
        <v>955</v>
      </c>
      <c r="O94" s="5" t="s">
        <v>1031</v>
      </c>
      <c r="P94" s="5"/>
      <c r="Q94" s="5" t="s">
        <v>1032</v>
      </c>
      <c r="R94" s="5"/>
      <c r="S94" s="5"/>
      <c r="T94" s="5"/>
      <c r="U94" s="5" t="s">
        <v>182</v>
      </c>
      <c r="V94" s="5" t="n">
        <v>1</v>
      </c>
      <c r="W94" s="5" t="s">
        <v>526</v>
      </c>
      <c r="X94" s="5"/>
      <c r="Y94" s="6" t="n">
        <v>280</v>
      </c>
    </row>
    <row r="95" customFormat="false" ht="46.25" hidden="false" customHeight="false" outlineLevel="0" collapsed="false">
      <c r="A95" s="5" t="s">
        <v>1033</v>
      </c>
      <c r="B95" s="5" t="s">
        <v>1034</v>
      </c>
      <c r="C95" s="5" t="s">
        <v>145</v>
      </c>
      <c r="D95" s="5" t="s">
        <v>411</v>
      </c>
      <c r="E95" s="5" t="s">
        <v>512</v>
      </c>
      <c r="F95" s="5"/>
      <c r="G95" s="5"/>
      <c r="H95" s="5"/>
      <c r="I95" s="5" t="s">
        <v>1035</v>
      </c>
      <c r="J95" s="5" t="s">
        <v>1036</v>
      </c>
      <c r="K95" s="5" t="s">
        <v>1037</v>
      </c>
      <c r="L95" s="5" t="s">
        <v>1038</v>
      </c>
      <c r="M95" s="5"/>
      <c r="N95" s="5"/>
      <c r="O95" s="5"/>
      <c r="P95" s="5"/>
      <c r="Q95" s="5"/>
      <c r="R95" s="5"/>
      <c r="S95" s="5"/>
      <c r="T95" s="5"/>
      <c r="U95" s="5" t="s">
        <v>182</v>
      </c>
      <c r="V95" s="5" t="n">
        <v>1</v>
      </c>
      <c r="W95" s="5" t="s">
        <v>1039</v>
      </c>
      <c r="X95" s="5"/>
      <c r="Y95" s="6" t="n">
        <v>162</v>
      </c>
    </row>
    <row r="96" customFormat="false" ht="46.25" hidden="false" customHeight="false" outlineLevel="0" collapsed="false">
      <c r="A96" s="5" t="s">
        <v>1040</v>
      </c>
      <c r="B96" s="5" t="s">
        <v>1041</v>
      </c>
      <c r="C96" s="5" t="s">
        <v>150</v>
      </c>
      <c r="D96" s="5" t="s">
        <v>417</v>
      </c>
      <c r="E96" s="5" t="s">
        <v>512</v>
      </c>
      <c r="F96" s="5"/>
      <c r="G96" s="5"/>
      <c r="H96" s="5"/>
      <c r="I96" s="5" t="s">
        <v>1042</v>
      </c>
      <c r="J96" s="5" t="s">
        <v>1043</v>
      </c>
      <c r="K96" s="5" t="s">
        <v>804</v>
      </c>
      <c r="L96" s="5" t="s">
        <v>1044</v>
      </c>
      <c r="M96" s="5" t="s">
        <v>751</v>
      </c>
      <c r="N96" s="5"/>
      <c r="O96" s="5"/>
      <c r="P96" s="5"/>
      <c r="Q96" s="5"/>
      <c r="R96" s="5"/>
      <c r="S96" s="5"/>
      <c r="T96" s="5"/>
      <c r="U96" s="5" t="s">
        <v>182</v>
      </c>
      <c r="V96" s="5" t="n">
        <v>7</v>
      </c>
      <c r="W96" s="5" t="s">
        <v>1004</v>
      </c>
      <c r="X96" s="5" t="s">
        <v>375</v>
      </c>
      <c r="Y96" s="6" t="n">
        <v>118</v>
      </c>
    </row>
    <row r="97" customFormat="false" ht="68.65" hidden="false" customHeight="false" outlineLevel="0" collapsed="false">
      <c r="A97" s="5" t="s">
        <v>1045</v>
      </c>
      <c r="B97" s="5" t="s">
        <v>1046</v>
      </c>
      <c r="C97" s="5" t="s">
        <v>145</v>
      </c>
      <c r="D97" s="5" t="s">
        <v>411</v>
      </c>
      <c r="E97" s="5" t="s">
        <v>512</v>
      </c>
      <c r="F97" s="5"/>
      <c r="G97" s="5"/>
      <c r="H97" s="5"/>
      <c r="I97" s="5" t="s">
        <v>1047</v>
      </c>
      <c r="J97" s="5" t="s">
        <v>1048</v>
      </c>
      <c r="K97" s="5"/>
      <c r="L97" s="5" t="s">
        <v>1049</v>
      </c>
      <c r="M97" s="5"/>
      <c r="N97" s="5"/>
      <c r="O97" s="5"/>
      <c r="P97" s="5"/>
      <c r="Q97" s="5"/>
      <c r="R97" s="5"/>
      <c r="S97" s="5"/>
      <c r="T97" s="5"/>
      <c r="U97" s="5" t="s">
        <v>182</v>
      </c>
      <c r="V97" s="5" t="n">
        <v>1</v>
      </c>
      <c r="W97" s="5" t="s">
        <v>1050</v>
      </c>
      <c r="X97" s="5" t="s">
        <v>799</v>
      </c>
      <c r="Y97" s="6" t="n">
        <v>43</v>
      </c>
    </row>
    <row r="98" customFormat="false" ht="35.05" hidden="false" customHeight="false" outlineLevel="0" collapsed="false">
      <c r="A98" s="5" t="s">
        <v>1051</v>
      </c>
      <c r="B98" s="5" t="s">
        <v>1052</v>
      </c>
      <c r="C98" s="5" t="s">
        <v>252</v>
      </c>
      <c r="D98" s="5" t="s">
        <v>423</v>
      </c>
      <c r="E98" s="5" t="s">
        <v>512</v>
      </c>
      <c r="F98" s="5"/>
      <c r="G98" s="5"/>
      <c r="H98" s="5"/>
      <c r="I98" s="5" t="s">
        <v>1053</v>
      </c>
      <c r="J98" s="5" t="s">
        <v>1054</v>
      </c>
      <c r="K98" s="5" t="s">
        <v>731</v>
      </c>
      <c r="L98" s="5" t="s">
        <v>1055</v>
      </c>
      <c r="M98" s="5"/>
      <c r="N98" s="5"/>
      <c r="O98" s="5"/>
      <c r="P98" s="5"/>
      <c r="Q98" s="5" t="s">
        <v>1056</v>
      </c>
      <c r="R98" s="5"/>
      <c r="S98" s="5"/>
      <c r="T98" s="5"/>
      <c r="U98" s="5" t="s">
        <v>182</v>
      </c>
      <c r="V98" s="5" t="n">
        <v>3</v>
      </c>
      <c r="W98" s="5" t="s">
        <v>1057</v>
      </c>
      <c r="X98" s="5"/>
      <c r="Y98" s="6" t="n">
        <v>58</v>
      </c>
    </row>
    <row r="99" customFormat="false" ht="35.05" hidden="false" customHeight="false" outlineLevel="0" collapsed="false">
      <c r="A99" s="5" t="s">
        <v>1058</v>
      </c>
      <c r="B99" s="5" t="s">
        <v>1059</v>
      </c>
      <c r="C99" s="5" t="s">
        <v>150</v>
      </c>
      <c r="D99" s="5" t="s">
        <v>417</v>
      </c>
      <c r="E99" s="5" t="s">
        <v>512</v>
      </c>
      <c r="F99" s="5"/>
      <c r="G99" s="5"/>
      <c r="H99" s="5"/>
      <c r="I99" s="5"/>
      <c r="J99" s="5" t="s">
        <v>1060</v>
      </c>
      <c r="K99" s="5" t="s">
        <v>1061</v>
      </c>
      <c r="L99" s="5" t="s">
        <v>1038</v>
      </c>
      <c r="M99" s="5"/>
      <c r="N99" s="5" t="s">
        <v>1062</v>
      </c>
      <c r="O99" s="5"/>
      <c r="P99" s="5"/>
      <c r="Q99" s="5"/>
      <c r="R99" s="5"/>
      <c r="S99" s="5"/>
      <c r="T99" s="5"/>
      <c r="U99" s="5" t="s">
        <v>182</v>
      </c>
      <c r="V99" s="5" t="n">
        <v>3</v>
      </c>
      <c r="W99" s="5" t="s">
        <v>526</v>
      </c>
      <c r="X99" s="5"/>
      <c r="Y99" s="6" t="n">
        <v>130</v>
      </c>
    </row>
    <row r="100" customFormat="false" ht="35.05" hidden="false" customHeight="false" outlineLevel="0" collapsed="false">
      <c r="A100" s="5" t="s">
        <v>1063</v>
      </c>
      <c r="B100" s="5" t="s">
        <v>1064</v>
      </c>
      <c r="C100" s="5" t="s">
        <v>150</v>
      </c>
      <c r="D100" s="5" t="s">
        <v>417</v>
      </c>
      <c r="E100" s="5" t="s">
        <v>512</v>
      </c>
      <c r="F100" s="5"/>
      <c r="G100" s="5"/>
      <c r="H100" s="5"/>
      <c r="I100" s="5" t="s">
        <v>1065</v>
      </c>
      <c r="J100" s="5" t="s">
        <v>1066</v>
      </c>
      <c r="K100" s="5" t="s">
        <v>804</v>
      </c>
      <c r="L100" s="5" t="s">
        <v>1067</v>
      </c>
      <c r="M100" s="5"/>
      <c r="N100" s="5"/>
      <c r="O100" s="5"/>
      <c r="P100" s="5"/>
      <c r="Q100" s="5"/>
      <c r="R100" s="5"/>
      <c r="S100" s="5"/>
      <c r="T100" s="5"/>
      <c r="U100" s="5" t="s">
        <v>182</v>
      </c>
      <c r="V100" s="5" t="n">
        <v>3</v>
      </c>
      <c r="W100" s="5" t="s">
        <v>1068</v>
      </c>
      <c r="X100" s="5"/>
      <c r="Y100" s="6" t="n">
        <v>86</v>
      </c>
    </row>
    <row r="101" customFormat="false" ht="35.05" hidden="false" customHeight="false" outlineLevel="0" collapsed="false">
      <c r="A101" s="5" t="s">
        <v>1069</v>
      </c>
      <c r="B101" s="5" t="s">
        <v>1070</v>
      </c>
      <c r="C101" s="5" t="s">
        <v>145</v>
      </c>
      <c r="D101" s="5" t="s">
        <v>411</v>
      </c>
      <c r="E101" s="5" t="s">
        <v>512</v>
      </c>
      <c r="F101" s="5"/>
      <c r="G101" s="5"/>
      <c r="H101" s="5"/>
      <c r="I101" s="5" t="s">
        <v>1071</v>
      </c>
      <c r="J101" s="5" t="s">
        <v>1072</v>
      </c>
      <c r="K101" s="5" t="s">
        <v>1073</v>
      </c>
      <c r="L101" s="5" t="s">
        <v>1074</v>
      </c>
      <c r="M101" s="5"/>
      <c r="N101" s="5"/>
      <c r="O101" s="5" t="s">
        <v>1075</v>
      </c>
      <c r="P101" s="5"/>
      <c r="Q101" s="5"/>
      <c r="R101" s="5"/>
      <c r="S101" s="5"/>
      <c r="T101" s="5"/>
      <c r="U101" s="5" t="s">
        <v>182</v>
      </c>
      <c r="V101" s="5" t="n">
        <v>4</v>
      </c>
      <c r="W101" s="5" t="s">
        <v>526</v>
      </c>
      <c r="X101" s="5" t="s">
        <v>384</v>
      </c>
      <c r="Y101" s="6" t="n">
        <v>386</v>
      </c>
    </row>
    <row r="102" customFormat="false" ht="225.35" hidden="false" customHeight="false" outlineLevel="0" collapsed="false">
      <c r="A102" s="5" t="s">
        <v>543</v>
      </c>
      <c r="B102" s="5" t="s">
        <v>1076</v>
      </c>
      <c r="C102" s="5" t="s">
        <v>145</v>
      </c>
      <c r="D102" s="5" t="s">
        <v>411</v>
      </c>
      <c r="E102" s="5" t="s">
        <v>512</v>
      </c>
      <c r="F102" s="5"/>
      <c r="G102" s="5"/>
      <c r="H102" s="5"/>
      <c r="I102" s="5" t="s">
        <v>1077</v>
      </c>
      <c r="J102" s="5" t="s">
        <v>1078</v>
      </c>
      <c r="K102" s="5" t="s">
        <v>1069</v>
      </c>
      <c r="L102" s="5" t="s">
        <v>1079</v>
      </c>
      <c r="M102" s="5"/>
      <c r="N102" s="5" t="s">
        <v>1018</v>
      </c>
      <c r="O102" s="5"/>
      <c r="P102" s="5"/>
      <c r="Q102" s="5"/>
      <c r="R102" s="5"/>
      <c r="S102" s="5"/>
      <c r="T102" s="5"/>
      <c r="U102" s="5" t="s">
        <v>182</v>
      </c>
      <c r="V102" s="5" t="n">
        <v>3</v>
      </c>
      <c r="W102" s="5" t="s">
        <v>853</v>
      </c>
      <c r="X102" s="5"/>
      <c r="Y102" s="6" t="n">
        <v>119</v>
      </c>
    </row>
    <row r="103" customFormat="false" ht="35.05" hidden="false" customHeight="false" outlineLevel="0" collapsed="false">
      <c r="A103" s="5" t="s">
        <v>1080</v>
      </c>
      <c r="B103" s="5" t="s">
        <v>1081</v>
      </c>
      <c r="C103" s="5" t="s">
        <v>145</v>
      </c>
      <c r="D103" s="5" t="s">
        <v>411</v>
      </c>
      <c r="E103" s="5" t="s">
        <v>512</v>
      </c>
      <c r="F103" s="5"/>
      <c r="G103" s="5"/>
      <c r="H103" s="5"/>
      <c r="I103" s="5"/>
      <c r="J103" s="5" t="s">
        <v>1082</v>
      </c>
      <c r="K103" s="5"/>
      <c r="L103" s="5" t="s">
        <v>1083</v>
      </c>
      <c r="M103" s="5"/>
      <c r="N103" s="5"/>
      <c r="O103" s="5"/>
      <c r="P103" s="5"/>
      <c r="Q103" s="5"/>
      <c r="R103" s="5"/>
      <c r="S103" s="5"/>
      <c r="T103" s="5"/>
      <c r="U103" s="5" t="s">
        <v>182</v>
      </c>
      <c r="V103" s="5" t="n">
        <v>5</v>
      </c>
      <c r="W103" s="5" t="s">
        <v>898</v>
      </c>
      <c r="X103" s="5"/>
      <c r="Y103" s="6" t="n">
        <v>200</v>
      </c>
    </row>
    <row r="104" customFormat="false" ht="68.65" hidden="false" customHeight="false" outlineLevel="0" collapsed="false">
      <c r="A104" s="5" t="s">
        <v>1084</v>
      </c>
      <c r="B104" s="5" t="s">
        <v>1085</v>
      </c>
      <c r="C104" s="5" t="s">
        <v>145</v>
      </c>
      <c r="D104" s="5" t="s">
        <v>411</v>
      </c>
      <c r="E104" s="5" t="s">
        <v>512</v>
      </c>
      <c r="F104" s="5"/>
      <c r="G104" s="5"/>
      <c r="H104" s="5"/>
      <c r="I104" s="5" t="s">
        <v>1086</v>
      </c>
      <c r="J104" s="5" t="s">
        <v>1087</v>
      </c>
      <c r="K104" s="5"/>
      <c r="L104" s="5" t="s">
        <v>1088</v>
      </c>
      <c r="M104" s="5"/>
      <c r="N104" s="5"/>
      <c r="O104" s="5"/>
      <c r="P104" s="5"/>
      <c r="Q104" s="5"/>
      <c r="R104" s="5"/>
      <c r="S104" s="5"/>
      <c r="T104" s="5"/>
      <c r="U104" s="5" t="s">
        <v>182</v>
      </c>
      <c r="V104" s="5" t="n">
        <v>6</v>
      </c>
      <c r="W104" s="5" t="s">
        <v>526</v>
      </c>
      <c r="X104" s="5"/>
      <c r="Y104" s="6" t="n">
        <v>51</v>
      </c>
    </row>
    <row r="105" customFormat="false" ht="46.25" hidden="false" customHeight="false" outlineLevel="0" collapsed="false">
      <c r="A105" s="5" t="s">
        <v>1038</v>
      </c>
      <c r="B105" s="5" t="s">
        <v>1089</v>
      </c>
      <c r="C105" s="5" t="s">
        <v>145</v>
      </c>
      <c r="D105" s="5" t="s">
        <v>411</v>
      </c>
      <c r="E105" s="5" t="s">
        <v>512</v>
      </c>
      <c r="F105" s="5"/>
      <c r="G105" s="5"/>
      <c r="H105" s="5"/>
      <c r="I105" s="5"/>
      <c r="J105" s="5" t="s">
        <v>1090</v>
      </c>
      <c r="K105" s="5" t="s">
        <v>1091</v>
      </c>
      <c r="L105" s="5" t="s">
        <v>143</v>
      </c>
      <c r="M105" s="5"/>
      <c r="N105" s="5"/>
      <c r="O105" s="5"/>
      <c r="P105" s="5"/>
      <c r="Q105" s="5"/>
      <c r="R105" s="5"/>
      <c r="S105" s="5"/>
      <c r="T105" s="5"/>
      <c r="U105" s="5" t="s">
        <v>182</v>
      </c>
      <c r="V105" s="5" t="n">
        <v>3</v>
      </c>
      <c r="W105" s="5" t="s">
        <v>1039</v>
      </c>
      <c r="X105" s="5"/>
      <c r="Y105" s="6" t="n">
        <v>61</v>
      </c>
    </row>
    <row r="106" customFormat="false" ht="191.75" hidden="false" customHeight="false" outlineLevel="0" collapsed="false">
      <c r="A106" s="5" t="s">
        <v>1092</v>
      </c>
      <c r="B106" s="5" t="s">
        <v>1093</v>
      </c>
      <c r="C106" s="5" t="s">
        <v>145</v>
      </c>
      <c r="D106" s="5" t="s">
        <v>411</v>
      </c>
      <c r="E106" s="5" t="s">
        <v>512</v>
      </c>
      <c r="F106" s="5"/>
      <c r="G106" s="5"/>
      <c r="H106" s="5"/>
      <c r="I106" s="5" t="s">
        <v>1094</v>
      </c>
      <c r="J106" s="5" t="s">
        <v>1095</v>
      </c>
      <c r="K106" s="5"/>
      <c r="L106" s="5" t="s">
        <v>143</v>
      </c>
      <c r="M106" s="5"/>
      <c r="N106" s="5" t="s">
        <v>1096</v>
      </c>
      <c r="O106" s="5"/>
      <c r="P106" s="5"/>
      <c r="Q106" s="5"/>
      <c r="R106" s="5" t="s">
        <v>1097</v>
      </c>
      <c r="S106" s="5" t="s">
        <v>1098</v>
      </c>
      <c r="T106" s="5"/>
      <c r="U106" s="5" t="s">
        <v>182</v>
      </c>
      <c r="V106" s="5" t="n">
        <v>3</v>
      </c>
      <c r="W106" s="5" t="s">
        <v>1099</v>
      </c>
      <c r="X106" s="5" t="s">
        <v>1100</v>
      </c>
      <c r="Y106" s="6" t="n">
        <v>1164</v>
      </c>
    </row>
    <row r="107" customFormat="false" ht="113.4" hidden="false" customHeight="false" outlineLevel="0" collapsed="false">
      <c r="A107" s="5" t="s">
        <v>804</v>
      </c>
      <c r="B107" s="5" t="s">
        <v>1101</v>
      </c>
      <c r="C107" s="5" t="s">
        <v>479</v>
      </c>
      <c r="D107" s="5" t="s">
        <v>480</v>
      </c>
      <c r="E107" s="5" t="s">
        <v>512</v>
      </c>
      <c r="F107" s="5"/>
      <c r="G107" s="5"/>
      <c r="H107" s="5"/>
      <c r="I107" s="5" t="s">
        <v>1102</v>
      </c>
      <c r="J107" s="5" t="s">
        <v>1103</v>
      </c>
      <c r="K107" s="5"/>
      <c r="L107" s="5" t="s">
        <v>1104</v>
      </c>
      <c r="M107" s="5"/>
      <c r="N107" s="5"/>
      <c r="O107" s="5"/>
      <c r="P107" s="5"/>
      <c r="Q107" s="5"/>
      <c r="R107" s="5"/>
      <c r="S107" s="5" t="s">
        <v>1105</v>
      </c>
      <c r="T107" s="5"/>
      <c r="U107" s="5" t="s">
        <v>182</v>
      </c>
      <c r="V107" s="5" t="n">
        <v>18</v>
      </c>
      <c r="W107" s="5" t="s">
        <v>1106</v>
      </c>
      <c r="X107" s="5"/>
      <c r="Y107" s="6" t="n">
        <v>862</v>
      </c>
    </row>
    <row r="108" customFormat="false" ht="68.65" hidden="false" customHeight="false" outlineLevel="0" collapsed="false">
      <c r="A108" s="5" t="s">
        <v>476</v>
      </c>
      <c r="B108" s="5" t="s">
        <v>1107</v>
      </c>
      <c r="C108" s="5" t="s">
        <v>472</v>
      </c>
      <c r="D108" s="5" t="s">
        <v>473</v>
      </c>
      <c r="E108" s="5" t="s">
        <v>512</v>
      </c>
      <c r="F108" s="5"/>
      <c r="G108" s="5"/>
      <c r="H108" s="5"/>
      <c r="I108" s="5" t="s">
        <v>1108</v>
      </c>
      <c r="J108" s="5" t="s">
        <v>1109</v>
      </c>
      <c r="K108" s="5"/>
      <c r="L108" s="5" t="s">
        <v>1110</v>
      </c>
      <c r="M108" s="5"/>
      <c r="N108" s="5"/>
      <c r="O108" s="5"/>
      <c r="P108" s="5"/>
      <c r="Q108" s="5"/>
      <c r="R108" s="5"/>
      <c r="S108" s="5"/>
      <c r="T108" s="5"/>
      <c r="U108" s="5" t="s">
        <v>182</v>
      </c>
      <c r="V108" s="5" t="n">
        <v>7</v>
      </c>
      <c r="W108" s="5" t="s">
        <v>694</v>
      </c>
      <c r="X108" s="5" t="s">
        <v>1111</v>
      </c>
      <c r="Y108" s="6" t="n">
        <v>94</v>
      </c>
    </row>
    <row r="109" customFormat="false" ht="35.05" hidden="false" customHeight="false" outlineLevel="0" collapsed="false">
      <c r="A109" s="5" t="s">
        <v>1112</v>
      </c>
      <c r="B109" s="5" t="s">
        <v>1113</v>
      </c>
      <c r="C109" s="5" t="s">
        <v>486</v>
      </c>
      <c r="D109" s="5" t="s">
        <v>487</v>
      </c>
      <c r="E109" s="5" t="s">
        <v>756</v>
      </c>
      <c r="F109" s="5"/>
      <c r="G109" s="5"/>
      <c r="H109" s="5"/>
      <c r="I109" s="5" t="s">
        <v>1114</v>
      </c>
      <c r="J109" s="5" t="s">
        <v>1115</v>
      </c>
      <c r="K109" s="5"/>
      <c r="L109" s="5" t="s">
        <v>905</v>
      </c>
      <c r="M109" s="5"/>
      <c r="N109" s="5"/>
      <c r="O109" s="5"/>
      <c r="P109" s="5"/>
      <c r="Q109" s="5"/>
      <c r="R109" s="5"/>
      <c r="S109" s="5"/>
      <c r="T109" s="5"/>
      <c r="U109" s="5" t="s">
        <v>182</v>
      </c>
      <c r="V109" s="5" t="n">
        <v>1</v>
      </c>
      <c r="W109" s="5" t="s">
        <v>1116</v>
      </c>
      <c r="X109" s="5"/>
      <c r="Y109" s="6" t="n">
        <v>22</v>
      </c>
    </row>
    <row r="110" customFormat="false" ht="102.2" hidden="false" customHeight="false" outlineLevel="0" collapsed="false">
      <c r="A110" s="5" t="s">
        <v>1061</v>
      </c>
      <c r="B110" s="5" t="s">
        <v>1117</v>
      </c>
      <c r="C110" s="5" t="s">
        <v>252</v>
      </c>
      <c r="D110" s="5" t="s">
        <v>423</v>
      </c>
      <c r="E110" s="5" t="s">
        <v>512</v>
      </c>
      <c r="F110" s="5"/>
      <c r="G110" s="5"/>
      <c r="H110" s="5"/>
      <c r="I110" s="5" t="s">
        <v>1118</v>
      </c>
      <c r="J110" s="5" t="s">
        <v>1119</v>
      </c>
      <c r="K110" s="5"/>
      <c r="L110" s="5" t="s">
        <v>1120</v>
      </c>
      <c r="M110" s="5"/>
      <c r="N110" s="5"/>
      <c r="O110" s="5"/>
      <c r="P110" s="5"/>
      <c r="Q110" s="5"/>
      <c r="R110" s="5"/>
      <c r="S110" s="5"/>
      <c r="T110" s="5"/>
      <c r="U110" s="5" t="s">
        <v>182</v>
      </c>
      <c r="V110" s="5" t="n">
        <v>1</v>
      </c>
      <c r="W110" s="5" t="s">
        <v>526</v>
      </c>
      <c r="X110" s="5"/>
      <c r="Y110" s="6" t="n">
        <v>63</v>
      </c>
    </row>
    <row r="111" customFormat="false" ht="68.65" hidden="false" customHeight="false" outlineLevel="0" collapsed="false">
      <c r="A111" s="5" t="s">
        <v>1121</v>
      </c>
      <c r="B111" s="5" t="s">
        <v>1122</v>
      </c>
      <c r="C111" s="5" t="s">
        <v>486</v>
      </c>
      <c r="D111" s="5" t="s">
        <v>487</v>
      </c>
      <c r="E111" s="5" t="s">
        <v>106</v>
      </c>
      <c r="F111" s="5"/>
      <c r="G111" s="5"/>
      <c r="H111" s="5"/>
      <c r="I111" s="5" t="s">
        <v>1123</v>
      </c>
      <c r="J111" s="5" t="s">
        <v>1124</v>
      </c>
      <c r="K111" s="5"/>
      <c r="L111" s="5"/>
      <c r="M111" s="5"/>
      <c r="N111" s="5"/>
      <c r="O111" s="5"/>
      <c r="P111" s="5"/>
      <c r="Q111" s="5"/>
      <c r="R111" s="5"/>
      <c r="S111" s="5"/>
      <c r="T111" s="5"/>
      <c r="U111" s="5"/>
      <c r="V111" s="5" t="n">
        <v>1</v>
      </c>
      <c r="W111" s="5" t="s">
        <v>1116</v>
      </c>
      <c r="X111" s="5"/>
      <c r="Y111" s="6" t="n">
        <v>47</v>
      </c>
    </row>
  </sheetData>
  <autoFilter ref="A4:X1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0"/>
    <col collapsed="false" customWidth="true" hidden="false" outlineLevel="0" max="4" min="4" style="0" width="40"/>
    <col collapsed="false" customWidth="true" hidden="false" outlineLevel="0" max="5" min="5" style="0" width="44"/>
    <col collapsed="false" customWidth="true" hidden="false" outlineLevel="0" max="6" min="6" style="0" width="26"/>
    <col collapsed="false" customWidth="true" hidden="false" outlineLevel="0" max="7" min="7" style="0" width="12"/>
  </cols>
  <sheetData>
    <row r="1" customFormat="false" ht="17.35" hidden="false" customHeight="false" outlineLevel="0" collapsed="false">
      <c r="A1" s="9" t="s">
        <v>1125</v>
      </c>
    </row>
    <row r="2" customFormat="false" ht="15" hidden="false" customHeight="false" outlineLevel="0" collapsed="false">
      <c r="A2" s="10" t="s">
        <v>1126</v>
      </c>
    </row>
    <row r="4" customFormat="false" ht="30" hidden="false" customHeight="true" outlineLevel="0" collapsed="false">
      <c r="A4" s="12" t="s">
        <v>1127</v>
      </c>
      <c r="B4" s="12" t="s">
        <v>1128</v>
      </c>
      <c r="C4" s="12" t="s">
        <v>1129</v>
      </c>
      <c r="D4" s="12" t="s">
        <v>1130</v>
      </c>
      <c r="E4" s="12" t="s">
        <v>1131</v>
      </c>
      <c r="F4" s="12" t="s">
        <v>1132</v>
      </c>
      <c r="G4" s="12" t="s">
        <v>1133</v>
      </c>
    </row>
    <row r="5" customFormat="false" ht="15" hidden="false" customHeight="false" outlineLevel="0" collapsed="false">
      <c r="A5" s="5" t="s">
        <v>1134</v>
      </c>
      <c r="B5" s="5" t="s">
        <v>1135</v>
      </c>
      <c r="C5" s="5" t="s">
        <v>148</v>
      </c>
      <c r="D5" s="5" t="s">
        <v>149</v>
      </c>
      <c r="E5" s="5" t="s">
        <v>1040</v>
      </c>
      <c r="F5" s="5" t="s">
        <v>1136</v>
      </c>
      <c r="G5" s="5" t="s">
        <v>1137</v>
      </c>
    </row>
    <row r="6" customFormat="false" ht="15" hidden="false" customHeight="false" outlineLevel="0" collapsed="false">
      <c r="A6" s="5" t="s">
        <v>1138</v>
      </c>
      <c r="B6" s="5" t="s">
        <v>1135</v>
      </c>
      <c r="C6" s="5" t="s">
        <v>148</v>
      </c>
      <c r="D6" s="5" t="s">
        <v>149</v>
      </c>
      <c r="E6" s="5" t="s">
        <v>1045</v>
      </c>
      <c r="F6" s="5" t="s">
        <v>1139</v>
      </c>
      <c r="G6" s="5" t="s">
        <v>1137</v>
      </c>
    </row>
    <row r="7" customFormat="false" ht="15" hidden="false" customHeight="false" outlineLevel="0" collapsed="false">
      <c r="A7" s="5" t="s">
        <v>1140</v>
      </c>
      <c r="B7" s="5" t="s">
        <v>1135</v>
      </c>
      <c r="C7" s="5" t="s">
        <v>148</v>
      </c>
      <c r="D7" s="5" t="s">
        <v>149</v>
      </c>
      <c r="E7" s="5" t="s">
        <v>1063</v>
      </c>
      <c r="F7" s="5" t="s">
        <v>1141</v>
      </c>
      <c r="G7" s="5" t="s">
        <v>1137</v>
      </c>
    </row>
    <row r="8" customFormat="false" ht="15" hidden="false" customHeight="false" outlineLevel="0" collapsed="false">
      <c r="A8" s="5" t="s">
        <v>1142</v>
      </c>
      <c r="B8" s="5" t="s">
        <v>1135</v>
      </c>
      <c r="C8" s="5" t="s">
        <v>148</v>
      </c>
      <c r="D8" s="5" t="s">
        <v>149</v>
      </c>
      <c r="E8" s="5" t="s">
        <v>543</v>
      </c>
      <c r="F8" s="5" t="s">
        <v>1143</v>
      </c>
      <c r="G8" s="5" t="s">
        <v>1137</v>
      </c>
    </row>
    <row r="9" customFormat="false" ht="15" hidden="false" customHeight="false" outlineLevel="0" collapsed="false">
      <c r="A9" s="5" t="s">
        <v>1144</v>
      </c>
      <c r="B9" s="5" t="s">
        <v>1135</v>
      </c>
      <c r="C9" s="5" t="s">
        <v>148</v>
      </c>
      <c r="D9" s="5" t="s">
        <v>149</v>
      </c>
      <c r="E9" s="5" t="s">
        <v>1084</v>
      </c>
      <c r="F9" s="5" t="s">
        <v>1145</v>
      </c>
      <c r="G9" s="5" t="s">
        <v>1137</v>
      </c>
    </row>
    <row r="10" customFormat="false" ht="15" hidden="false" customHeight="false" outlineLevel="0" collapsed="false">
      <c r="A10" s="5" t="s">
        <v>1146</v>
      </c>
      <c r="B10" s="5" t="s">
        <v>1147</v>
      </c>
      <c r="C10" s="5" t="s">
        <v>148</v>
      </c>
      <c r="D10" s="5" t="s">
        <v>149</v>
      </c>
      <c r="E10" s="5" t="s">
        <v>1148</v>
      </c>
      <c r="F10" s="5"/>
      <c r="G10" s="5" t="s">
        <v>1137</v>
      </c>
    </row>
    <row r="11" customFormat="false" ht="15" hidden="false" customHeight="false" outlineLevel="0" collapsed="false">
      <c r="A11" s="5" t="s">
        <v>1149</v>
      </c>
      <c r="B11" s="5" t="s">
        <v>1135</v>
      </c>
      <c r="C11" s="5" t="s">
        <v>202</v>
      </c>
      <c r="D11" s="5" t="s">
        <v>203</v>
      </c>
      <c r="E11" s="5" t="s">
        <v>153</v>
      </c>
      <c r="F11" s="5" t="s">
        <v>1150</v>
      </c>
      <c r="G11" s="5" t="s">
        <v>1137</v>
      </c>
    </row>
    <row r="12" customFormat="false" ht="15" hidden="false" customHeight="false" outlineLevel="0" collapsed="false">
      <c r="A12" s="5" t="s">
        <v>1151</v>
      </c>
      <c r="B12" s="5" t="s">
        <v>1135</v>
      </c>
      <c r="C12" s="5" t="s">
        <v>202</v>
      </c>
      <c r="D12" s="5" t="s">
        <v>203</v>
      </c>
      <c r="E12" s="5" t="s">
        <v>543</v>
      </c>
      <c r="F12" s="5" t="s">
        <v>1143</v>
      </c>
      <c r="G12" s="5" t="s">
        <v>1137</v>
      </c>
    </row>
    <row r="13" customFormat="false" ht="15" hidden="false" customHeight="false" outlineLevel="0" collapsed="false">
      <c r="A13" s="5" t="s">
        <v>1152</v>
      </c>
      <c r="B13" s="5" t="s">
        <v>1135</v>
      </c>
      <c r="C13" s="5" t="s">
        <v>226</v>
      </c>
      <c r="D13" s="5" t="s">
        <v>227</v>
      </c>
      <c r="E13" s="5" t="s">
        <v>153</v>
      </c>
      <c r="F13" s="5" t="s">
        <v>1150</v>
      </c>
      <c r="G13" s="5" t="s">
        <v>1137</v>
      </c>
    </row>
    <row r="14" customFormat="false" ht="15" hidden="false" customHeight="false" outlineLevel="0" collapsed="false">
      <c r="A14" s="5" t="s">
        <v>1153</v>
      </c>
      <c r="B14" s="5" t="s">
        <v>1135</v>
      </c>
      <c r="C14" s="5" t="s">
        <v>226</v>
      </c>
      <c r="D14" s="5" t="s">
        <v>227</v>
      </c>
      <c r="E14" s="5" t="s">
        <v>543</v>
      </c>
      <c r="F14" s="5" t="s">
        <v>1143</v>
      </c>
      <c r="G14" s="5" t="s">
        <v>1137</v>
      </c>
    </row>
    <row r="15" customFormat="false" ht="15" hidden="false" customHeight="false" outlineLevel="0" collapsed="false">
      <c r="A15" s="5" t="s">
        <v>1154</v>
      </c>
      <c r="B15" s="5" t="s">
        <v>1135</v>
      </c>
      <c r="C15" s="5" t="s">
        <v>214</v>
      </c>
      <c r="D15" s="5" t="s">
        <v>215</v>
      </c>
      <c r="E15" s="5" t="s">
        <v>153</v>
      </c>
      <c r="F15" s="5" t="s">
        <v>1150</v>
      </c>
      <c r="G15" s="5" t="s">
        <v>1137</v>
      </c>
    </row>
    <row r="16" customFormat="false" ht="15" hidden="false" customHeight="false" outlineLevel="0" collapsed="false">
      <c r="A16" s="5" t="s">
        <v>1155</v>
      </c>
      <c r="B16" s="5" t="s">
        <v>1135</v>
      </c>
      <c r="C16" s="5" t="s">
        <v>214</v>
      </c>
      <c r="D16" s="5" t="s">
        <v>215</v>
      </c>
      <c r="E16" s="5" t="s">
        <v>543</v>
      </c>
      <c r="F16" s="5" t="s">
        <v>1143</v>
      </c>
      <c r="G16" s="5" t="s">
        <v>1137</v>
      </c>
    </row>
    <row r="17" customFormat="false" ht="15" hidden="false" customHeight="false" outlineLevel="0" collapsed="false">
      <c r="A17" s="5" t="s">
        <v>1156</v>
      </c>
      <c r="B17" s="5" t="s">
        <v>1135</v>
      </c>
      <c r="C17" s="5" t="s">
        <v>210</v>
      </c>
      <c r="D17" s="5" t="s">
        <v>211</v>
      </c>
      <c r="E17" s="5" t="s">
        <v>153</v>
      </c>
      <c r="F17" s="5" t="s">
        <v>1150</v>
      </c>
      <c r="G17" s="5" t="s">
        <v>1137</v>
      </c>
    </row>
    <row r="18" customFormat="false" ht="15" hidden="false" customHeight="false" outlineLevel="0" collapsed="false">
      <c r="A18" s="5" t="s">
        <v>1157</v>
      </c>
      <c r="B18" s="5" t="s">
        <v>1135</v>
      </c>
      <c r="C18" s="5" t="s">
        <v>210</v>
      </c>
      <c r="D18" s="5" t="s">
        <v>211</v>
      </c>
      <c r="E18" s="5" t="s">
        <v>543</v>
      </c>
      <c r="F18" s="5" t="s">
        <v>1143</v>
      </c>
      <c r="G18" s="5" t="s">
        <v>1137</v>
      </c>
    </row>
    <row r="19" customFormat="false" ht="15" hidden="false" customHeight="false" outlineLevel="0" collapsed="false">
      <c r="A19" s="5" t="s">
        <v>1158</v>
      </c>
      <c r="B19" s="5" t="s">
        <v>1135</v>
      </c>
      <c r="C19" s="5" t="s">
        <v>218</v>
      </c>
      <c r="D19" s="5" t="s">
        <v>219</v>
      </c>
      <c r="E19" s="5" t="s">
        <v>153</v>
      </c>
      <c r="F19" s="5" t="s">
        <v>1150</v>
      </c>
      <c r="G19" s="5" t="s">
        <v>1137</v>
      </c>
    </row>
    <row r="20" customFormat="false" ht="15" hidden="false" customHeight="false" outlineLevel="0" collapsed="false">
      <c r="A20" s="5" t="s">
        <v>1159</v>
      </c>
      <c r="B20" s="5" t="s">
        <v>1135</v>
      </c>
      <c r="C20" s="5" t="s">
        <v>218</v>
      </c>
      <c r="D20" s="5" t="s">
        <v>219</v>
      </c>
      <c r="E20" s="5" t="s">
        <v>543</v>
      </c>
      <c r="F20" s="5" t="s">
        <v>1143</v>
      </c>
      <c r="G20" s="5" t="s">
        <v>1137</v>
      </c>
    </row>
    <row r="21" customFormat="false" ht="15" hidden="false" customHeight="false" outlineLevel="0" collapsed="false">
      <c r="A21" s="5" t="s">
        <v>1160</v>
      </c>
      <c r="B21" s="5" t="s">
        <v>1135</v>
      </c>
      <c r="C21" s="5" t="s">
        <v>222</v>
      </c>
      <c r="D21" s="5" t="s">
        <v>223</v>
      </c>
      <c r="E21" s="5" t="s">
        <v>153</v>
      </c>
      <c r="F21" s="5" t="s">
        <v>1150</v>
      </c>
      <c r="G21" s="5" t="s">
        <v>1137</v>
      </c>
    </row>
    <row r="22" customFormat="false" ht="15" hidden="false" customHeight="false" outlineLevel="0" collapsed="false">
      <c r="A22" s="5" t="s">
        <v>1161</v>
      </c>
      <c r="B22" s="5" t="s">
        <v>1135</v>
      </c>
      <c r="C22" s="5" t="s">
        <v>222</v>
      </c>
      <c r="D22" s="5" t="s">
        <v>223</v>
      </c>
      <c r="E22" s="5" t="s">
        <v>543</v>
      </c>
      <c r="F22" s="5" t="s">
        <v>1143</v>
      </c>
      <c r="G22" s="5" t="s">
        <v>1137</v>
      </c>
    </row>
    <row r="23" customFormat="false" ht="15" hidden="false" customHeight="false" outlineLevel="0" collapsed="false">
      <c r="A23" s="5" t="s">
        <v>1162</v>
      </c>
      <c r="B23" s="5" t="s">
        <v>1135</v>
      </c>
      <c r="C23" s="5" t="s">
        <v>206</v>
      </c>
      <c r="D23" s="5" t="s">
        <v>207</v>
      </c>
      <c r="E23" s="5" t="s">
        <v>153</v>
      </c>
      <c r="F23" s="5" t="s">
        <v>1150</v>
      </c>
      <c r="G23" s="5" t="s">
        <v>1137</v>
      </c>
    </row>
    <row r="24" customFormat="false" ht="15" hidden="false" customHeight="false" outlineLevel="0" collapsed="false">
      <c r="A24" s="5" t="s">
        <v>1163</v>
      </c>
      <c r="B24" s="5" t="s">
        <v>1135</v>
      </c>
      <c r="C24" s="5" t="s">
        <v>206</v>
      </c>
      <c r="D24" s="5" t="s">
        <v>207</v>
      </c>
      <c r="E24" s="5" t="s">
        <v>543</v>
      </c>
      <c r="F24" s="5" t="s">
        <v>1143</v>
      </c>
      <c r="G24" s="5" t="s">
        <v>1137</v>
      </c>
    </row>
    <row r="25" customFormat="false" ht="15" hidden="false" customHeight="false" outlineLevel="0" collapsed="false">
      <c r="A25" s="5" t="s">
        <v>1164</v>
      </c>
      <c r="B25" s="5" t="s">
        <v>1135</v>
      </c>
      <c r="C25" s="5" t="s">
        <v>289</v>
      </c>
      <c r="D25" s="5" t="s">
        <v>290</v>
      </c>
      <c r="E25" s="5" t="s">
        <v>543</v>
      </c>
      <c r="F25" s="5" t="s">
        <v>1143</v>
      </c>
      <c r="G25" s="5" t="s">
        <v>1137</v>
      </c>
    </row>
    <row r="26" customFormat="false" ht="15" hidden="false" customHeight="false" outlineLevel="0" collapsed="false">
      <c r="A26" s="5" t="s">
        <v>1165</v>
      </c>
      <c r="B26" s="5" t="s">
        <v>1166</v>
      </c>
      <c r="C26" s="5" t="s">
        <v>289</v>
      </c>
      <c r="D26" s="5" t="s">
        <v>290</v>
      </c>
      <c r="E26" s="5" t="s">
        <v>1167</v>
      </c>
      <c r="F26" s="5"/>
      <c r="G26" s="5" t="s">
        <v>1137</v>
      </c>
    </row>
    <row r="27" customFormat="false" ht="15" hidden="false" customHeight="false" outlineLevel="0" collapsed="false">
      <c r="A27" s="5" t="s">
        <v>1168</v>
      </c>
      <c r="B27" s="5" t="s">
        <v>1135</v>
      </c>
      <c r="C27" s="5" t="s">
        <v>175</v>
      </c>
      <c r="D27" s="5" t="s">
        <v>176</v>
      </c>
      <c r="E27" s="5" t="s">
        <v>153</v>
      </c>
      <c r="F27" s="5" t="s">
        <v>1150</v>
      </c>
      <c r="G27" s="5" t="s">
        <v>1137</v>
      </c>
    </row>
    <row r="28" customFormat="false" ht="15" hidden="false" customHeight="false" outlineLevel="0" collapsed="false">
      <c r="A28" s="5" t="s">
        <v>1169</v>
      </c>
      <c r="B28" s="5" t="s">
        <v>1135</v>
      </c>
      <c r="C28" s="5" t="s">
        <v>175</v>
      </c>
      <c r="D28" s="5" t="s">
        <v>176</v>
      </c>
      <c r="E28" s="5" t="s">
        <v>708</v>
      </c>
      <c r="F28" s="5" t="s">
        <v>1170</v>
      </c>
      <c r="G28" s="5" t="s">
        <v>1137</v>
      </c>
    </row>
    <row r="29" customFormat="false" ht="15" hidden="false" customHeight="false" outlineLevel="0" collapsed="false">
      <c r="A29" s="5" t="s">
        <v>1171</v>
      </c>
      <c r="B29" s="5" t="s">
        <v>1135</v>
      </c>
      <c r="C29" s="5" t="s">
        <v>175</v>
      </c>
      <c r="D29" s="5" t="s">
        <v>176</v>
      </c>
      <c r="E29" s="5" t="s">
        <v>543</v>
      </c>
      <c r="F29" s="5" t="s">
        <v>1143</v>
      </c>
      <c r="G29" s="5" t="s">
        <v>1137</v>
      </c>
    </row>
    <row r="30" customFormat="false" ht="15" hidden="false" customHeight="false" outlineLevel="0" collapsed="false">
      <c r="A30" s="5" t="s">
        <v>1172</v>
      </c>
      <c r="B30" s="5" t="s">
        <v>1135</v>
      </c>
      <c r="C30" s="5" t="s">
        <v>175</v>
      </c>
      <c r="D30" s="5" t="s">
        <v>176</v>
      </c>
      <c r="E30" s="5" t="s">
        <v>804</v>
      </c>
      <c r="F30" s="5" t="s">
        <v>1173</v>
      </c>
      <c r="G30" s="5" t="s">
        <v>1137</v>
      </c>
    </row>
    <row r="31" customFormat="false" ht="15" hidden="false" customHeight="false" outlineLevel="0" collapsed="false">
      <c r="A31" s="5" t="s">
        <v>1174</v>
      </c>
      <c r="B31" s="5" t="s">
        <v>1135</v>
      </c>
      <c r="C31" s="5" t="s">
        <v>175</v>
      </c>
      <c r="D31" s="5" t="s">
        <v>176</v>
      </c>
      <c r="E31" s="5" t="s">
        <v>476</v>
      </c>
      <c r="F31" s="5" t="s">
        <v>1175</v>
      </c>
      <c r="G31" s="5" t="s">
        <v>1137</v>
      </c>
    </row>
    <row r="32" customFormat="false" ht="15" hidden="false" customHeight="false" outlineLevel="0" collapsed="false">
      <c r="A32" s="5" t="s">
        <v>1176</v>
      </c>
      <c r="B32" s="5" t="s">
        <v>1166</v>
      </c>
      <c r="C32" s="5" t="s">
        <v>175</v>
      </c>
      <c r="D32" s="5" t="s">
        <v>176</v>
      </c>
      <c r="E32" s="5" t="s">
        <v>1177</v>
      </c>
      <c r="F32" s="5"/>
      <c r="G32" s="5" t="s">
        <v>1137</v>
      </c>
    </row>
    <row r="33" customFormat="false" ht="15" hidden="false" customHeight="false" outlineLevel="0" collapsed="false">
      <c r="A33" s="5" t="s">
        <v>1178</v>
      </c>
      <c r="B33" s="5" t="s">
        <v>1166</v>
      </c>
      <c r="C33" s="5" t="s">
        <v>175</v>
      </c>
      <c r="D33" s="5" t="s">
        <v>176</v>
      </c>
      <c r="E33" s="5" t="s">
        <v>1179</v>
      </c>
      <c r="F33" s="5"/>
      <c r="G33" s="5" t="s">
        <v>1137</v>
      </c>
    </row>
    <row r="34" customFormat="false" ht="15" hidden="false" customHeight="false" outlineLevel="0" collapsed="false">
      <c r="A34" s="5" t="s">
        <v>1180</v>
      </c>
      <c r="B34" s="5" t="s">
        <v>1181</v>
      </c>
      <c r="C34" s="5" t="s">
        <v>175</v>
      </c>
      <c r="D34" s="5" t="s">
        <v>176</v>
      </c>
      <c r="E34" s="5" t="s">
        <v>1182</v>
      </c>
      <c r="F34" s="5"/>
      <c r="G34" s="5" t="s">
        <v>1137</v>
      </c>
    </row>
    <row r="35" customFormat="false" ht="15" hidden="false" customHeight="false" outlineLevel="0" collapsed="false">
      <c r="A35" s="5" t="s">
        <v>1183</v>
      </c>
      <c r="B35" s="5" t="s">
        <v>1181</v>
      </c>
      <c r="C35" s="5" t="s">
        <v>175</v>
      </c>
      <c r="D35" s="5" t="s">
        <v>176</v>
      </c>
      <c r="E35" s="5" t="s">
        <v>1184</v>
      </c>
      <c r="F35" s="5"/>
      <c r="G35" s="5" t="s">
        <v>1137</v>
      </c>
    </row>
    <row r="36" customFormat="false" ht="15" hidden="false" customHeight="false" outlineLevel="0" collapsed="false">
      <c r="A36" s="5" t="s">
        <v>1185</v>
      </c>
      <c r="B36" s="5" t="s">
        <v>1135</v>
      </c>
      <c r="C36" s="5" t="s">
        <v>268</v>
      </c>
      <c r="D36" s="5" t="s">
        <v>269</v>
      </c>
      <c r="E36" s="5" t="s">
        <v>153</v>
      </c>
      <c r="F36" s="5" t="s">
        <v>1150</v>
      </c>
      <c r="G36" s="5" t="s">
        <v>1137</v>
      </c>
    </row>
    <row r="37" customFormat="false" ht="15" hidden="false" customHeight="false" outlineLevel="0" collapsed="false">
      <c r="A37" s="5" t="s">
        <v>1186</v>
      </c>
      <c r="B37" s="5" t="s">
        <v>1135</v>
      </c>
      <c r="C37" s="5" t="s">
        <v>268</v>
      </c>
      <c r="D37" s="5" t="s">
        <v>269</v>
      </c>
      <c r="E37" s="5" t="s">
        <v>543</v>
      </c>
      <c r="F37" s="5" t="s">
        <v>1143</v>
      </c>
      <c r="G37" s="5" t="s">
        <v>1137</v>
      </c>
    </row>
    <row r="38" customFormat="false" ht="15" hidden="false" customHeight="false" outlineLevel="0" collapsed="false">
      <c r="A38" s="5" t="s">
        <v>1187</v>
      </c>
      <c r="B38" s="5" t="s">
        <v>1166</v>
      </c>
      <c r="C38" s="5" t="s">
        <v>268</v>
      </c>
      <c r="D38" s="5" t="s">
        <v>269</v>
      </c>
      <c r="E38" s="5" t="s">
        <v>1188</v>
      </c>
      <c r="F38" s="5"/>
      <c r="G38" s="5" t="s">
        <v>1137</v>
      </c>
    </row>
    <row r="39" customFormat="false" ht="15" hidden="false" customHeight="false" outlineLevel="0" collapsed="false">
      <c r="A39" s="5" t="s">
        <v>1189</v>
      </c>
      <c r="B39" s="5" t="s">
        <v>1135</v>
      </c>
      <c r="C39" s="5" t="s">
        <v>230</v>
      </c>
      <c r="D39" s="5" t="s">
        <v>231</v>
      </c>
      <c r="E39" s="5" t="s">
        <v>153</v>
      </c>
      <c r="F39" s="5" t="s">
        <v>1150</v>
      </c>
      <c r="G39" s="5" t="s">
        <v>1137</v>
      </c>
    </row>
    <row r="40" customFormat="false" ht="15" hidden="false" customHeight="false" outlineLevel="0" collapsed="false">
      <c r="A40" s="5" t="s">
        <v>1190</v>
      </c>
      <c r="B40" s="5" t="s">
        <v>1135</v>
      </c>
      <c r="C40" s="5" t="s">
        <v>230</v>
      </c>
      <c r="D40" s="5" t="s">
        <v>231</v>
      </c>
      <c r="E40" s="5" t="s">
        <v>1040</v>
      </c>
      <c r="F40" s="5" t="s">
        <v>1136</v>
      </c>
      <c r="G40" s="5" t="s">
        <v>1137</v>
      </c>
    </row>
    <row r="41" customFormat="false" ht="15" hidden="false" customHeight="false" outlineLevel="0" collapsed="false">
      <c r="A41" s="5" t="s">
        <v>1191</v>
      </c>
      <c r="B41" s="5" t="s">
        <v>1135</v>
      </c>
      <c r="C41" s="5" t="s">
        <v>230</v>
      </c>
      <c r="D41" s="5" t="s">
        <v>231</v>
      </c>
      <c r="E41" s="5" t="s">
        <v>543</v>
      </c>
      <c r="F41" s="5" t="s">
        <v>1143</v>
      </c>
      <c r="G41" s="5" t="s">
        <v>1137</v>
      </c>
    </row>
    <row r="42" customFormat="false" ht="15" hidden="false" customHeight="false" outlineLevel="0" collapsed="false">
      <c r="A42" s="5" t="s">
        <v>1192</v>
      </c>
      <c r="B42" s="5" t="s">
        <v>1135</v>
      </c>
      <c r="C42" s="5" t="s">
        <v>171</v>
      </c>
      <c r="D42" s="5" t="s">
        <v>172</v>
      </c>
      <c r="E42" s="5" t="s">
        <v>153</v>
      </c>
      <c r="F42" s="5" t="s">
        <v>1150</v>
      </c>
      <c r="G42" s="5" t="s">
        <v>1137</v>
      </c>
    </row>
    <row r="43" customFormat="false" ht="15" hidden="false" customHeight="false" outlineLevel="0" collapsed="false">
      <c r="A43" s="5" t="s">
        <v>1193</v>
      </c>
      <c r="B43" s="5" t="s">
        <v>1135</v>
      </c>
      <c r="C43" s="5" t="s">
        <v>171</v>
      </c>
      <c r="D43" s="5" t="s">
        <v>172</v>
      </c>
      <c r="E43" s="5" t="s">
        <v>543</v>
      </c>
      <c r="F43" s="5" t="s">
        <v>1143</v>
      </c>
      <c r="G43" s="5" t="s">
        <v>1137</v>
      </c>
    </row>
    <row r="44" customFormat="false" ht="15" hidden="false" customHeight="false" outlineLevel="0" collapsed="false">
      <c r="A44" s="5" t="s">
        <v>1194</v>
      </c>
      <c r="B44" s="5" t="s">
        <v>1166</v>
      </c>
      <c r="C44" s="5" t="s">
        <v>171</v>
      </c>
      <c r="D44" s="5" t="s">
        <v>172</v>
      </c>
      <c r="E44" s="5" t="s">
        <v>1195</v>
      </c>
      <c r="F44" s="5"/>
      <c r="G44" s="5" t="s">
        <v>1137</v>
      </c>
    </row>
    <row r="45" customFormat="false" ht="15" hidden="false" customHeight="false" outlineLevel="0" collapsed="false">
      <c r="A45" s="5" t="s">
        <v>1196</v>
      </c>
      <c r="B45" s="5" t="s">
        <v>1135</v>
      </c>
      <c r="C45" s="5" t="s">
        <v>180</v>
      </c>
      <c r="D45" s="5" t="s">
        <v>181</v>
      </c>
      <c r="E45" s="5" t="s">
        <v>153</v>
      </c>
      <c r="F45" s="5" t="s">
        <v>1150</v>
      </c>
      <c r="G45" s="5" t="s">
        <v>1137</v>
      </c>
    </row>
    <row r="46" customFormat="false" ht="15" hidden="false" customHeight="false" outlineLevel="0" collapsed="false">
      <c r="A46" s="5" t="s">
        <v>1197</v>
      </c>
      <c r="B46" s="5" t="s">
        <v>1135</v>
      </c>
      <c r="C46" s="5" t="s">
        <v>180</v>
      </c>
      <c r="D46" s="5" t="s">
        <v>181</v>
      </c>
      <c r="E46" s="5" t="s">
        <v>543</v>
      </c>
      <c r="F46" s="5" t="s">
        <v>1143</v>
      </c>
      <c r="G46" s="5" t="s">
        <v>1137</v>
      </c>
    </row>
    <row r="47" customFormat="false" ht="15" hidden="false" customHeight="false" outlineLevel="0" collapsed="false">
      <c r="A47" s="5" t="s">
        <v>1198</v>
      </c>
      <c r="B47" s="5" t="s">
        <v>1166</v>
      </c>
      <c r="C47" s="5" t="s">
        <v>180</v>
      </c>
      <c r="D47" s="5" t="s">
        <v>181</v>
      </c>
      <c r="E47" s="5" t="s">
        <v>1179</v>
      </c>
      <c r="F47" s="5"/>
      <c r="G47" s="5" t="s">
        <v>1137</v>
      </c>
    </row>
    <row r="48" customFormat="false" ht="15" hidden="false" customHeight="false" outlineLevel="0" collapsed="false">
      <c r="A48" s="5" t="s">
        <v>1199</v>
      </c>
      <c r="B48" s="5" t="s">
        <v>1166</v>
      </c>
      <c r="C48" s="5" t="s">
        <v>180</v>
      </c>
      <c r="D48" s="5" t="s">
        <v>181</v>
      </c>
      <c r="E48" s="5" t="s">
        <v>1200</v>
      </c>
      <c r="F48" s="5"/>
      <c r="G48" s="5" t="s">
        <v>1137</v>
      </c>
    </row>
    <row r="49" customFormat="false" ht="15" hidden="false" customHeight="false" outlineLevel="0" collapsed="false">
      <c r="A49" s="5" t="s">
        <v>1201</v>
      </c>
      <c r="B49" s="5" t="s">
        <v>1166</v>
      </c>
      <c r="C49" s="5" t="s">
        <v>180</v>
      </c>
      <c r="D49" s="5" t="s">
        <v>181</v>
      </c>
      <c r="E49" s="5" t="s">
        <v>1202</v>
      </c>
      <c r="F49" s="5"/>
      <c r="G49" s="5" t="s">
        <v>1137</v>
      </c>
    </row>
    <row r="50" customFormat="false" ht="15" hidden="false" customHeight="false" outlineLevel="0" collapsed="false">
      <c r="A50" s="5" t="s">
        <v>1203</v>
      </c>
      <c r="B50" s="5" t="s">
        <v>1166</v>
      </c>
      <c r="C50" s="5" t="s">
        <v>180</v>
      </c>
      <c r="D50" s="5" t="s">
        <v>181</v>
      </c>
      <c r="E50" s="5" t="s">
        <v>1204</v>
      </c>
      <c r="F50" s="5"/>
      <c r="G50" s="5" t="s">
        <v>1137</v>
      </c>
    </row>
    <row r="51" customFormat="false" ht="15" hidden="false" customHeight="false" outlineLevel="0" collapsed="false">
      <c r="A51" s="5" t="s">
        <v>1205</v>
      </c>
      <c r="B51" s="5" t="s">
        <v>1135</v>
      </c>
      <c r="C51" s="5" t="s">
        <v>276</v>
      </c>
      <c r="D51" s="5" t="s">
        <v>277</v>
      </c>
      <c r="E51" s="5" t="s">
        <v>1045</v>
      </c>
      <c r="F51" s="5" t="s">
        <v>1139</v>
      </c>
      <c r="G51" s="5" t="s">
        <v>1137</v>
      </c>
    </row>
    <row r="52" customFormat="false" ht="15" hidden="false" customHeight="false" outlineLevel="0" collapsed="false">
      <c r="A52" s="5" t="s">
        <v>1206</v>
      </c>
      <c r="B52" s="5" t="s">
        <v>1135</v>
      </c>
      <c r="C52" s="5" t="s">
        <v>276</v>
      </c>
      <c r="D52" s="5" t="s">
        <v>277</v>
      </c>
      <c r="E52" s="5" t="s">
        <v>543</v>
      </c>
      <c r="F52" s="5" t="s">
        <v>1143</v>
      </c>
      <c r="G52" s="5" t="s">
        <v>1137</v>
      </c>
    </row>
    <row r="53" customFormat="false" ht="15" hidden="false" customHeight="false" outlineLevel="0" collapsed="false">
      <c r="A53" s="5" t="s">
        <v>1207</v>
      </c>
      <c r="B53" s="5" t="s">
        <v>1135</v>
      </c>
      <c r="C53" s="5" t="s">
        <v>276</v>
      </c>
      <c r="D53" s="5" t="s">
        <v>277</v>
      </c>
      <c r="E53" s="5" t="s">
        <v>1084</v>
      </c>
      <c r="F53" s="5" t="s">
        <v>1145</v>
      </c>
      <c r="G53" s="5" t="s">
        <v>1137</v>
      </c>
    </row>
    <row r="54" customFormat="false" ht="15" hidden="false" customHeight="false" outlineLevel="0" collapsed="false">
      <c r="A54" s="5" t="s">
        <v>1208</v>
      </c>
      <c r="B54" s="5" t="s">
        <v>1166</v>
      </c>
      <c r="C54" s="5" t="s">
        <v>276</v>
      </c>
      <c r="D54" s="5" t="s">
        <v>277</v>
      </c>
      <c r="E54" s="5" t="s">
        <v>1209</v>
      </c>
      <c r="F54" s="5"/>
      <c r="G54" s="5" t="s">
        <v>1137</v>
      </c>
    </row>
    <row r="55" customFormat="false" ht="15" hidden="false" customHeight="false" outlineLevel="0" collapsed="false">
      <c r="A55" s="5" t="s">
        <v>1210</v>
      </c>
      <c r="B55" s="5" t="s">
        <v>1166</v>
      </c>
      <c r="C55" s="5" t="s">
        <v>276</v>
      </c>
      <c r="D55" s="5" t="s">
        <v>277</v>
      </c>
      <c r="E55" s="5" t="s">
        <v>1211</v>
      </c>
      <c r="F55" s="5"/>
      <c r="G55" s="5" t="s">
        <v>1137</v>
      </c>
    </row>
    <row r="56" customFormat="false" ht="15" hidden="false" customHeight="false" outlineLevel="0" collapsed="false">
      <c r="A56" s="5" t="s">
        <v>1212</v>
      </c>
      <c r="B56" s="5" t="s">
        <v>1147</v>
      </c>
      <c r="C56" s="5" t="s">
        <v>276</v>
      </c>
      <c r="D56" s="5" t="s">
        <v>277</v>
      </c>
      <c r="E56" s="5" t="s">
        <v>1213</v>
      </c>
      <c r="F56" s="5"/>
      <c r="G56" s="5" t="s">
        <v>1137</v>
      </c>
    </row>
    <row r="57" customFormat="false" ht="15" hidden="false" customHeight="false" outlineLevel="0" collapsed="false">
      <c r="A57" s="5" t="s">
        <v>1214</v>
      </c>
      <c r="B57" s="5" t="s">
        <v>1135</v>
      </c>
      <c r="C57" s="5" t="s">
        <v>281</v>
      </c>
      <c r="D57" s="5" t="s">
        <v>282</v>
      </c>
      <c r="E57" s="5" t="s">
        <v>1045</v>
      </c>
      <c r="F57" s="5" t="s">
        <v>1139</v>
      </c>
      <c r="G57" s="5" t="s">
        <v>1137</v>
      </c>
    </row>
    <row r="58" customFormat="false" ht="15" hidden="false" customHeight="false" outlineLevel="0" collapsed="false">
      <c r="A58" s="5" t="s">
        <v>1215</v>
      </c>
      <c r="B58" s="5" t="s">
        <v>1135</v>
      </c>
      <c r="C58" s="5" t="s">
        <v>281</v>
      </c>
      <c r="D58" s="5" t="s">
        <v>282</v>
      </c>
      <c r="E58" s="5" t="s">
        <v>543</v>
      </c>
      <c r="F58" s="5" t="s">
        <v>1143</v>
      </c>
      <c r="G58" s="5" t="s">
        <v>1137</v>
      </c>
    </row>
    <row r="59" customFormat="false" ht="15" hidden="false" customHeight="false" outlineLevel="0" collapsed="false">
      <c r="A59" s="5" t="s">
        <v>1216</v>
      </c>
      <c r="B59" s="5" t="s">
        <v>1135</v>
      </c>
      <c r="C59" s="5" t="s">
        <v>281</v>
      </c>
      <c r="D59" s="5" t="s">
        <v>282</v>
      </c>
      <c r="E59" s="5" t="s">
        <v>1084</v>
      </c>
      <c r="F59" s="5" t="s">
        <v>1145</v>
      </c>
      <c r="G59" s="5" t="s">
        <v>1137</v>
      </c>
    </row>
    <row r="60" customFormat="false" ht="15" hidden="false" customHeight="false" outlineLevel="0" collapsed="false">
      <c r="A60" s="5" t="s">
        <v>1217</v>
      </c>
      <c r="B60" s="5" t="s">
        <v>1147</v>
      </c>
      <c r="C60" s="5" t="s">
        <v>281</v>
      </c>
      <c r="D60" s="5" t="s">
        <v>282</v>
      </c>
      <c r="E60" s="5" t="s">
        <v>1218</v>
      </c>
      <c r="F60" s="5"/>
      <c r="G60" s="5" t="s">
        <v>1137</v>
      </c>
    </row>
    <row r="61" customFormat="false" ht="15" hidden="false" customHeight="false" outlineLevel="0" collapsed="false">
      <c r="A61" s="5" t="s">
        <v>1219</v>
      </c>
      <c r="B61" s="5" t="s">
        <v>1135</v>
      </c>
      <c r="C61" s="5" t="s">
        <v>162</v>
      </c>
      <c r="D61" s="5" t="s">
        <v>163</v>
      </c>
      <c r="E61" s="5" t="s">
        <v>153</v>
      </c>
      <c r="F61" s="5" t="s">
        <v>1150</v>
      </c>
      <c r="G61" s="5" t="s">
        <v>1137</v>
      </c>
    </row>
    <row r="62" customFormat="false" ht="15" hidden="false" customHeight="false" outlineLevel="0" collapsed="false">
      <c r="A62" s="5" t="s">
        <v>1220</v>
      </c>
      <c r="B62" s="5" t="s">
        <v>1135</v>
      </c>
      <c r="C62" s="5" t="s">
        <v>162</v>
      </c>
      <c r="D62" s="5" t="s">
        <v>163</v>
      </c>
      <c r="E62" s="5" t="s">
        <v>543</v>
      </c>
      <c r="F62" s="5" t="s">
        <v>1143</v>
      </c>
      <c r="G62" s="5" t="s">
        <v>1137</v>
      </c>
    </row>
    <row r="63" customFormat="false" ht="15" hidden="false" customHeight="false" outlineLevel="0" collapsed="false">
      <c r="A63" s="5" t="s">
        <v>1221</v>
      </c>
      <c r="B63" s="5" t="s">
        <v>1166</v>
      </c>
      <c r="C63" s="5" t="s">
        <v>162</v>
      </c>
      <c r="D63" s="5" t="s">
        <v>163</v>
      </c>
      <c r="E63" s="5" t="s">
        <v>1222</v>
      </c>
      <c r="F63" s="5"/>
      <c r="G63" s="5" t="s">
        <v>1137</v>
      </c>
    </row>
    <row r="64" customFormat="false" ht="15" hidden="false" customHeight="false" outlineLevel="0" collapsed="false">
      <c r="A64" s="5" t="s">
        <v>1223</v>
      </c>
      <c r="B64" s="5" t="s">
        <v>1166</v>
      </c>
      <c r="C64" s="5" t="s">
        <v>162</v>
      </c>
      <c r="D64" s="5" t="s">
        <v>163</v>
      </c>
      <c r="E64" s="5" t="s">
        <v>1224</v>
      </c>
      <c r="F64" s="5"/>
      <c r="G64" s="5" t="s">
        <v>1137</v>
      </c>
    </row>
    <row r="65" customFormat="false" ht="15" hidden="false" customHeight="false" outlineLevel="0" collapsed="false">
      <c r="A65" s="5" t="s">
        <v>1225</v>
      </c>
      <c r="B65" s="5" t="s">
        <v>1166</v>
      </c>
      <c r="C65" s="5" t="s">
        <v>162</v>
      </c>
      <c r="D65" s="5" t="s">
        <v>163</v>
      </c>
      <c r="E65" s="5" t="s">
        <v>1226</v>
      </c>
      <c r="F65" s="5"/>
      <c r="G65" s="5" t="s">
        <v>1137</v>
      </c>
    </row>
    <row r="66" customFormat="false" ht="15" hidden="false" customHeight="false" outlineLevel="0" collapsed="false">
      <c r="A66" s="5" t="s">
        <v>1227</v>
      </c>
      <c r="B66" s="5" t="s">
        <v>1166</v>
      </c>
      <c r="C66" s="5" t="s">
        <v>162</v>
      </c>
      <c r="D66" s="5" t="s">
        <v>163</v>
      </c>
      <c r="E66" s="5" t="s">
        <v>1228</v>
      </c>
      <c r="F66" s="5"/>
      <c r="G66" s="5" t="s">
        <v>1137</v>
      </c>
    </row>
    <row r="67" customFormat="false" ht="15" hidden="false" customHeight="false" outlineLevel="0" collapsed="false">
      <c r="A67" s="5" t="s">
        <v>1229</v>
      </c>
      <c r="B67" s="5" t="s">
        <v>1135</v>
      </c>
      <c r="C67" s="5" t="s">
        <v>315</v>
      </c>
      <c r="D67" s="5" t="s">
        <v>316</v>
      </c>
      <c r="E67" s="5" t="s">
        <v>153</v>
      </c>
      <c r="F67" s="5" t="s">
        <v>1150</v>
      </c>
      <c r="G67" s="5" t="s">
        <v>1137</v>
      </c>
    </row>
    <row r="68" customFormat="false" ht="15" hidden="false" customHeight="false" outlineLevel="0" collapsed="false">
      <c r="A68" s="5" t="s">
        <v>1230</v>
      </c>
      <c r="B68" s="5" t="s">
        <v>1135</v>
      </c>
      <c r="C68" s="5" t="s">
        <v>315</v>
      </c>
      <c r="D68" s="5" t="s">
        <v>316</v>
      </c>
      <c r="E68" s="5" t="s">
        <v>1040</v>
      </c>
      <c r="F68" s="5" t="s">
        <v>1136</v>
      </c>
      <c r="G68" s="5" t="s">
        <v>1137</v>
      </c>
    </row>
    <row r="69" customFormat="false" ht="15" hidden="false" customHeight="false" outlineLevel="0" collapsed="false">
      <c r="A69" s="5" t="s">
        <v>1231</v>
      </c>
      <c r="B69" s="5" t="s">
        <v>1135</v>
      </c>
      <c r="C69" s="5" t="s">
        <v>315</v>
      </c>
      <c r="D69" s="5" t="s">
        <v>316</v>
      </c>
      <c r="E69" s="5" t="s">
        <v>543</v>
      </c>
      <c r="F69" s="5" t="s">
        <v>1143</v>
      </c>
      <c r="G69" s="5" t="s">
        <v>1137</v>
      </c>
    </row>
    <row r="70" customFormat="false" ht="15" hidden="false" customHeight="false" outlineLevel="0" collapsed="false">
      <c r="A70" s="5" t="s">
        <v>1232</v>
      </c>
      <c r="B70" s="5" t="s">
        <v>1166</v>
      </c>
      <c r="C70" s="5" t="s">
        <v>315</v>
      </c>
      <c r="D70" s="5" t="s">
        <v>316</v>
      </c>
      <c r="E70" s="5" t="s">
        <v>1233</v>
      </c>
      <c r="F70" s="5"/>
      <c r="G70" s="5" t="s">
        <v>1137</v>
      </c>
    </row>
    <row r="71" customFormat="false" ht="15" hidden="false" customHeight="false" outlineLevel="0" collapsed="false">
      <c r="A71" s="5" t="s">
        <v>1234</v>
      </c>
      <c r="B71" s="5" t="s">
        <v>1135</v>
      </c>
      <c r="C71" s="5" t="s">
        <v>166</v>
      </c>
      <c r="D71" s="5" t="s">
        <v>167</v>
      </c>
      <c r="E71" s="5" t="s">
        <v>153</v>
      </c>
      <c r="F71" s="5" t="s">
        <v>1150</v>
      </c>
      <c r="G71" s="5" t="s">
        <v>1137</v>
      </c>
    </row>
    <row r="72" customFormat="false" ht="15" hidden="false" customHeight="false" outlineLevel="0" collapsed="false">
      <c r="A72" s="5" t="s">
        <v>1235</v>
      </c>
      <c r="B72" s="5" t="s">
        <v>1135</v>
      </c>
      <c r="C72" s="5" t="s">
        <v>166</v>
      </c>
      <c r="D72" s="5" t="s">
        <v>167</v>
      </c>
      <c r="E72" s="5" t="s">
        <v>1040</v>
      </c>
      <c r="F72" s="5" t="s">
        <v>1136</v>
      </c>
      <c r="G72" s="5" t="s">
        <v>1137</v>
      </c>
    </row>
    <row r="73" customFormat="false" ht="15" hidden="false" customHeight="false" outlineLevel="0" collapsed="false">
      <c r="A73" s="5" t="s">
        <v>1236</v>
      </c>
      <c r="B73" s="5" t="s">
        <v>1135</v>
      </c>
      <c r="C73" s="5" t="s">
        <v>166</v>
      </c>
      <c r="D73" s="5" t="s">
        <v>167</v>
      </c>
      <c r="E73" s="5" t="s">
        <v>543</v>
      </c>
      <c r="F73" s="5" t="s">
        <v>1143</v>
      </c>
      <c r="G73" s="5" t="s">
        <v>1137</v>
      </c>
    </row>
    <row r="74" customFormat="false" ht="15" hidden="false" customHeight="false" outlineLevel="0" collapsed="false">
      <c r="A74" s="5" t="s">
        <v>1237</v>
      </c>
      <c r="B74" s="5" t="s">
        <v>1166</v>
      </c>
      <c r="C74" s="5" t="s">
        <v>166</v>
      </c>
      <c r="D74" s="5" t="s">
        <v>167</v>
      </c>
      <c r="E74" s="5" t="s">
        <v>1238</v>
      </c>
      <c r="F74" s="5"/>
      <c r="G74" s="5" t="s">
        <v>1137</v>
      </c>
    </row>
    <row r="75" customFormat="false" ht="15" hidden="false" customHeight="false" outlineLevel="0" collapsed="false">
      <c r="A75" s="5" t="s">
        <v>1239</v>
      </c>
      <c r="B75" s="5" t="s">
        <v>1166</v>
      </c>
      <c r="C75" s="5" t="s">
        <v>166</v>
      </c>
      <c r="D75" s="5" t="s">
        <v>167</v>
      </c>
      <c r="E75" s="5" t="s">
        <v>1240</v>
      </c>
      <c r="F75" s="5"/>
      <c r="G75" s="5" t="s">
        <v>1137</v>
      </c>
    </row>
    <row r="76" customFormat="false" ht="15" hidden="false" customHeight="false" outlineLevel="0" collapsed="false">
      <c r="A76" s="5" t="s">
        <v>1241</v>
      </c>
      <c r="B76" s="5" t="s">
        <v>1166</v>
      </c>
      <c r="C76" s="5" t="s">
        <v>166</v>
      </c>
      <c r="D76" s="5" t="s">
        <v>167</v>
      </c>
      <c r="E76" s="5" t="s">
        <v>1242</v>
      </c>
      <c r="F76" s="5"/>
      <c r="G76" s="5" t="s">
        <v>1137</v>
      </c>
    </row>
    <row r="77" customFormat="false" ht="15" hidden="false" customHeight="false" outlineLevel="0" collapsed="false">
      <c r="A77" s="5" t="s">
        <v>1243</v>
      </c>
      <c r="B77" s="5" t="s">
        <v>1166</v>
      </c>
      <c r="C77" s="5" t="s">
        <v>166</v>
      </c>
      <c r="D77" s="5" t="s">
        <v>167</v>
      </c>
      <c r="E77" s="5" t="s">
        <v>1244</v>
      </c>
      <c r="F77" s="5"/>
      <c r="G77" s="5" t="s">
        <v>1137</v>
      </c>
    </row>
    <row r="78" customFormat="false" ht="15" hidden="false" customHeight="false" outlineLevel="0" collapsed="false">
      <c r="A78" s="5" t="s">
        <v>1245</v>
      </c>
      <c r="B78" s="5" t="s">
        <v>1166</v>
      </c>
      <c r="C78" s="5" t="s">
        <v>166</v>
      </c>
      <c r="D78" s="5" t="s">
        <v>167</v>
      </c>
      <c r="E78" s="5" t="s">
        <v>1246</v>
      </c>
      <c r="F78" s="5"/>
      <c r="G78" s="5" t="s">
        <v>1137</v>
      </c>
    </row>
    <row r="79" customFormat="false" ht="15" hidden="false" customHeight="false" outlineLevel="0" collapsed="false">
      <c r="A79" s="5" t="s">
        <v>1247</v>
      </c>
      <c r="B79" s="5" t="s">
        <v>1135</v>
      </c>
      <c r="C79" s="5" t="s">
        <v>272</v>
      </c>
      <c r="D79" s="5" t="s">
        <v>273</v>
      </c>
      <c r="E79" s="5" t="s">
        <v>153</v>
      </c>
      <c r="F79" s="5" t="s">
        <v>1150</v>
      </c>
      <c r="G79" s="5" t="s">
        <v>1137</v>
      </c>
    </row>
    <row r="80" customFormat="false" ht="15" hidden="false" customHeight="false" outlineLevel="0" collapsed="false">
      <c r="A80" s="5" t="s">
        <v>1248</v>
      </c>
      <c r="B80" s="5" t="s">
        <v>1135</v>
      </c>
      <c r="C80" s="5" t="s">
        <v>272</v>
      </c>
      <c r="D80" s="5" t="s">
        <v>273</v>
      </c>
      <c r="E80" s="5" t="s">
        <v>543</v>
      </c>
      <c r="F80" s="5" t="s">
        <v>1143</v>
      </c>
      <c r="G80" s="5" t="s">
        <v>1137</v>
      </c>
    </row>
    <row r="81" customFormat="false" ht="15" hidden="false" customHeight="false" outlineLevel="0" collapsed="false">
      <c r="A81" s="5" t="s">
        <v>1249</v>
      </c>
      <c r="B81" s="5" t="s">
        <v>1135</v>
      </c>
      <c r="C81" s="5" t="s">
        <v>301</v>
      </c>
      <c r="D81" s="5" t="s">
        <v>302</v>
      </c>
      <c r="E81" s="5" t="s">
        <v>153</v>
      </c>
      <c r="F81" s="5" t="s">
        <v>1150</v>
      </c>
      <c r="G81" s="5" t="s">
        <v>1137</v>
      </c>
    </row>
    <row r="82" customFormat="false" ht="15" hidden="false" customHeight="false" outlineLevel="0" collapsed="false">
      <c r="A82" s="5" t="s">
        <v>1250</v>
      </c>
      <c r="B82" s="5" t="s">
        <v>1135</v>
      </c>
      <c r="C82" s="5" t="s">
        <v>301</v>
      </c>
      <c r="D82" s="5" t="s">
        <v>302</v>
      </c>
      <c r="E82" s="5" t="s">
        <v>543</v>
      </c>
      <c r="F82" s="5" t="s">
        <v>1143</v>
      </c>
      <c r="G82" s="5" t="s">
        <v>1137</v>
      </c>
    </row>
    <row r="83" customFormat="false" ht="15" hidden="false" customHeight="false" outlineLevel="0" collapsed="false">
      <c r="A83" s="5" t="s">
        <v>1251</v>
      </c>
      <c r="B83" s="5" t="s">
        <v>1135</v>
      </c>
      <c r="C83" s="5" t="s">
        <v>301</v>
      </c>
      <c r="D83" s="5" t="s">
        <v>302</v>
      </c>
      <c r="E83" s="5" t="s">
        <v>1080</v>
      </c>
      <c r="F83" s="5" t="s">
        <v>1252</v>
      </c>
      <c r="G83" s="5" t="s">
        <v>1137</v>
      </c>
    </row>
    <row r="84" customFormat="false" ht="15" hidden="false" customHeight="false" outlineLevel="0" collapsed="false">
      <c r="A84" s="5" t="s">
        <v>1253</v>
      </c>
      <c r="B84" s="5" t="s">
        <v>1135</v>
      </c>
      <c r="C84" s="5" t="s">
        <v>301</v>
      </c>
      <c r="D84" s="5" t="s">
        <v>302</v>
      </c>
      <c r="E84" s="5" t="s">
        <v>804</v>
      </c>
      <c r="F84" s="5" t="s">
        <v>1173</v>
      </c>
      <c r="G84" s="5" t="s">
        <v>1137</v>
      </c>
    </row>
    <row r="85" customFormat="false" ht="15" hidden="false" customHeight="false" outlineLevel="0" collapsed="false">
      <c r="A85" s="5" t="s">
        <v>1254</v>
      </c>
      <c r="B85" s="5" t="s">
        <v>1166</v>
      </c>
      <c r="C85" s="5" t="s">
        <v>301</v>
      </c>
      <c r="D85" s="5" t="s">
        <v>302</v>
      </c>
      <c r="E85" s="5" t="s">
        <v>1255</v>
      </c>
      <c r="F85" s="5"/>
      <c r="G85" s="5" t="s">
        <v>1137</v>
      </c>
    </row>
    <row r="86" customFormat="false" ht="15" hidden="false" customHeight="false" outlineLevel="0" collapsed="false">
      <c r="A86" s="5" t="s">
        <v>1256</v>
      </c>
      <c r="B86" s="5" t="s">
        <v>1166</v>
      </c>
      <c r="C86" s="5" t="s">
        <v>301</v>
      </c>
      <c r="D86" s="5" t="s">
        <v>302</v>
      </c>
      <c r="E86" s="5" t="s">
        <v>1257</v>
      </c>
      <c r="F86" s="5"/>
      <c r="G86" s="5" t="s">
        <v>1137</v>
      </c>
    </row>
    <row r="87" customFormat="false" ht="15" hidden="false" customHeight="false" outlineLevel="0" collapsed="false">
      <c r="A87" s="5" t="s">
        <v>1258</v>
      </c>
      <c r="B87" s="5" t="s">
        <v>1166</v>
      </c>
      <c r="C87" s="5" t="s">
        <v>301</v>
      </c>
      <c r="D87" s="5" t="s">
        <v>302</v>
      </c>
      <c r="E87" s="5" t="s">
        <v>1238</v>
      </c>
      <c r="F87" s="5"/>
      <c r="G87" s="5" t="s">
        <v>1137</v>
      </c>
    </row>
    <row r="88" customFormat="false" ht="15" hidden="false" customHeight="false" outlineLevel="0" collapsed="false">
      <c r="A88" s="5" t="s">
        <v>1259</v>
      </c>
      <c r="B88" s="5" t="s">
        <v>1166</v>
      </c>
      <c r="C88" s="5" t="s">
        <v>301</v>
      </c>
      <c r="D88" s="5" t="s">
        <v>302</v>
      </c>
      <c r="E88" s="5" t="s">
        <v>1260</v>
      </c>
      <c r="F88" s="5"/>
      <c r="G88" s="5" t="s">
        <v>1137</v>
      </c>
    </row>
    <row r="89" customFormat="false" ht="15" hidden="false" customHeight="false" outlineLevel="0" collapsed="false">
      <c r="A89" s="5" t="s">
        <v>1261</v>
      </c>
      <c r="B89" s="5" t="s">
        <v>1166</v>
      </c>
      <c r="C89" s="5" t="s">
        <v>301</v>
      </c>
      <c r="D89" s="5" t="s">
        <v>302</v>
      </c>
      <c r="E89" s="5" t="s">
        <v>1262</v>
      </c>
      <c r="F89" s="5"/>
      <c r="G89" s="5" t="s">
        <v>1137</v>
      </c>
    </row>
    <row r="90" customFormat="false" ht="15" hidden="false" customHeight="false" outlineLevel="0" collapsed="false">
      <c r="A90" s="5" t="s">
        <v>1263</v>
      </c>
      <c r="B90" s="5" t="s">
        <v>1166</v>
      </c>
      <c r="C90" s="5" t="s">
        <v>301</v>
      </c>
      <c r="D90" s="5" t="s">
        <v>302</v>
      </c>
      <c r="E90" s="5" t="s">
        <v>1264</v>
      </c>
      <c r="F90" s="5"/>
      <c r="G90" s="5" t="s">
        <v>1137</v>
      </c>
    </row>
    <row r="91" customFormat="false" ht="15" hidden="false" customHeight="false" outlineLevel="0" collapsed="false">
      <c r="A91" s="5" t="s">
        <v>1265</v>
      </c>
      <c r="B91" s="5" t="s">
        <v>1166</v>
      </c>
      <c r="C91" s="5" t="s">
        <v>301</v>
      </c>
      <c r="D91" s="5" t="s">
        <v>302</v>
      </c>
      <c r="E91" s="5" t="s">
        <v>1179</v>
      </c>
      <c r="F91" s="5"/>
      <c r="G91" s="5" t="s">
        <v>1137</v>
      </c>
    </row>
    <row r="92" customFormat="false" ht="15" hidden="false" customHeight="false" outlineLevel="0" collapsed="false">
      <c r="A92" s="5" t="s">
        <v>1266</v>
      </c>
      <c r="B92" s="5" t="s">
        <v>1166</v>
      </c>
      <c r="C92" s="5" t="s">
        <v>301</v>
      </c>
      <c r="D92" s="5" t="s">
        <v>302</v>
      </c>
      <c r="E92" s="5" t="s">
        <v>1267</v>
      </c>
      <c r="F92" s="5"/>
      <c r="G92" s="5" t="s">
        <v>1137</v>
      </c>
    </row>
    <row r="93" customFormat="false" ht="15" hidden="false" customHeight="false" outlineLevel="0" collapsed="false">
      <c r="A93" s="5" t="s">
        <v>1268</v>
      </c>
      <c r="B93" s="5" t="s">
        <v>1166</v>
      </c>
      <c r="C93" s="5" t="s">
        <v>301</v>
      </c>
      <c r="D93" s="5" t="s">
        <v>302</v>
      </c>
      <c r="E93" s="5" t="s">
        <v>1269</v>
      </c>
      <c r="F93" s="5"/>
      <c r="G93" s="5" t="s">
        <v>1137</v>
      </c>
    </row>
    <row r="94" customFormat="false" ht="15" hidden="false" customHeight="false" outlineLevel="0" collapsed="false">
      <c r="A94" s="5" t="s">
        <v>1270</v>
      </c>
      <c r="B94" s="5" t="s">
        <v>1166</v>
      </c>
      <c r="C94" s="5" t="s">
        <v>301</v>
      </c>
      <c r="D94" s="5" t="s">
        <v>302</v>
      </c>
      <c r="E94" s="5" t="s">
        <v>1271</v>
      </c>
      <c r="F94" s="5"/>
      <c r="G94" s="5" t="s">
        <v>1137</v>
      </c>
    </row>
    <row r="95" customFormat="false" ht="15" hidden="false" customHeight="false" outlineLevel="0" collapsed="false">
      <c r="A95" s="5" t="s">
        <v>1272</v>
      </c>
      <c r="B95" s="5" t="s">
        <v>1166</v>
      </c>
      <c r="C95" s="5" t="s">
        <v>301</v>
      </c>
      <c r="D95" s="5" t="s">
        <v>302</v>
      </c>
      <c r="E95" s="5" t="s">
        <v>1273</v>
      </c>
      <c r="F95" s="5"/>
      <c r="G95" s="5" t="s">
        <v>1137</v>
      </c>
    </row>
    <row r="96" customFormat="false" ht="23.85" hidden="false" customHeight="false" outlineLevel="0" collapsed="false">
      <c r="A96" s="5" t="s">
        <v>1274</v>
      </c>
      <c r="B96" s="5" t="s">
        <v>1135</v>
      </c>
      <c r="C96" s="5" t="s">
        <v>613</v>
      </c>
      <c r="D96" s="5" t="s">
        <v>614</v>
      </c>
      <c r="E96" s="5" t="s">
        <v>153</v>
      </c>
      <c r="F96" s="5" t="s">
        <v>1150</v>
      </c>
      <c r="G96" s="5" t="s">
        <v>1275</v>
      </c>
    </row>
    <row r="97" customFormat="false" ht="23.85" hidden="false" customHeight="false" outlineLevel="0" collapsed="false">
      <c r="A97" s="5" t="s">
        <v>1276</v>
      </c>
      <c r="B97" s="5" t="s">
        <v>1135</v>
      </c>
      <c r="C97" s="5" t="s">
        <v>613</v>
      </c>
      <c r="D97" s="5" t="s">
        <v>614</v>
      </c>
      <c r="E97" s="5" t="s">
        <v>543</v>
      </c>
      <c r="F97" s="5" t="s">
        <v>1143</v>
      </c>
      <c r="G97" s="5" t="s">
        <v>1275</v>
      </c>
    </row>
    <row r="98" customFormat="false" ht="23.85" hidden="false" customHeight="false" outlineLevel="0" collapsed="false">
      <c r="A98" s="5" t="s">
        <v>1277</v>
      </c>
      <c r="B98" s="5" t="s">
        <v>1166</v>
      </c>
      <c r="C98" s="5" t="s">
        <v>613</v>
      </c>
      <c r="D98" s="5" t="s">
        <v>614</v>
      </c>
      <c r="E98" s="5" t="s">
        <v>1278</v>
      </c>
      <c r="F98" s="5"/>
      <c r="G98" s="5" t="s">
        <v>1275</v>
      </c>
    </row>
    <row r="99" customFormat="false" ht="23.85" hidden="false" customHeight="false" outlineLevel="0" collapsed="false">
      <c r="A99" s="5" t="s">
        <v>1279</v>
      </c>
      <c r="B99" s="5" t="s">
        <v>1166</v>
      </c>
      <c r="C99" s="5" t="s">
        <v>619</v>
      </c>
      <c r="D99" s="5" t="s">
        <v>620</v>
      </c>
      <c r="E99" s="5" t="s">
        <v>1280</v>
      </c>
      <c r="F99" s="5"/>
      <c r="G99" s="5" t="s">
        <v>1275</v>
      </c>
    </row>
    <row r="100" customFormat="false" ht="15" hidden="false" customHeight="false" outlineLevel="0" collapsed="false">
      <c r="A100" s="5" t="s">
        <v>1281</v>
      </c>
      <c r="B100" s="5" t="s">
        <v>1135</v>
      </c>
      <c r="C100" s="5" t="s">
        <v>323</v>
      </c>
      <c r="D100" s="5" t="s">
        <v>324</v>
      </c>
      <c r="E100" s="5" t="s">
        <v>153</v>
      </c>
      <c r="F100" s="5" t="s">
        <v>1150</v>
      </c>
      <c r="G100" s="5" t="s">
        <v>1137</v>
      </c>
    </row>
    <row r="101" customFormat="false" ht="15" hidden="false" customHeight="false" outlineLevel="0" collapsed="false">
      <c r="A101" s="5" t="s">
        <v>1282</v>
      </c>
      <c r="B101" s="5" t="s">
        <v>1135</v>
      </c>
      <c r="C101" s="5" t="s">
        <v>323</v>
      </c>
      <c r="D101" s="5" t="s">
        <v>324</v>
      </c>
      <c r="E101" s="5" t="s">
        <v>1040</v>
      </c>
      <c r="F101" s="5" t="s">
        <v>1136</v>
      </c>
      <c r="G101" s="5" t="s">
        <v>1137</v>
      </c>
    </row>
    <row r="102" customFormat="false" ht="15" hidden="false" customHeight="false" outlineLevel="0" collapsed="false">
      <c r="A102" s="5" t="s">
        <v>1283</v>
      </c>
      <c r="B102" s="5" t="s">
        <v>1166</v>
      </c>
      <c r="C102" s="5" t="s">
        <v>323</v>
      </c>
      <c r="D102" s="5" t="s">
        <v>324</v>
      </c>
      <c r="E102" s="5" t="s">
        <v>1244</v>
      </c>
      <c r="F102" s="5"/>
      <c r="G102" s="5" t="s">
        <v>1137</v>
      </c>
    </row>
    <row r="103" customFormat="false" ht="15" hidden="false" customHeight="false" outlineLevel="0" collapsed="false">
      <c r="A103" s="5" t="s">
        <v>1284</v>
      </c>
      <c r="B103" s="5" t="s">
        <v>1166</v>
      </c>
      <c r="C103" s="5" t="s">
        <v>323</v>
      </c>
      <c r="D103" s="5" t="s">
        <v>324</v>
      </c>
      <c r="E103" s="5" t="s">
        <v>1285</v>
      </c>
      <c r="F103" s="5"/>
      <c r="G103" s="5" t="s">
        <v>1137</v>
      </c>
    </row>
    <row r="104" customFormat="false" ht="15" hidden="false" customHeight="false" outlineLevel="0" collapsed="false">
      <c r="A104" s="5" t="s">
        <v>1286</v>
      </c>
      <c r="B104" s="5" t="s">
        <v>1166</v>
      </c>
      <c r="C104" s="5" t="s">
        <v>323</v>
      </c>
      <c r="D104" s="5" t="s">
        <v>324</v>
      </c>
      <c r="E104" s="5" t="s">
        <v>1287</v>
      </c>
      <c r="F104" s="5"/>
      <c r="G104" s="5" t="s">
        <v>1137</v>
      </c>
    </row>
    <row r="105" customFormat="false" ht="15" hidden="false" customHeight="false" outlineLevel="0" collapsed="false">
      <c r="A105" s="5" t="s">
        <v>1288</v>
      </c>
      <c r="B105" s="5" t="s">
        <v>1135</v>
      </c>
      <c r="C105" s="5" t="s">
        <v>153</v>
      </c>
      <c r="D105" s="5" t="s">
        <v>154</v>
      </c>
      <c r="E105" s="5" t="s">
        <v>679</v>
      </c>
      <c r="F105" s="5" t="s">
        <v>1289</v>
      </c>
      <c r="G105" s="5" t="s">
        <v>1137</v>
      </c>
    </row>
    <row r="106" customFormat="false" ht="15" hidden="false" customHeight="false" outlineLevel="0" collapsed="false">
      <c r="A106" s="5" t="s">
        <v>1290</v>
      </c>
      <c r="B106" s="5" t="s">
        <v>1135</v>
      </c>
      <c r="C106" s="5" t="s">
        <v>153</v>
      </c>
      <c r="D106" s="5" t="s">
        <v>154</v>
      </c>
      <c r="E106" s="5" t="s">
        <v>543</v>
      </c>
      <c r="F106" s="5" t="s">
        <v>1143</v>
      </c>
      <c r="G106" s="5" t="s">
        <v>1137</v>
      </c>
    </row>
    <row r="107" customFormat="false" ht="15" hidden="false" customHeight="false" outlineLevel="0" collapsed="false">
      <c r="A107" s="5" t="s">
        <v>1291</v>
      </c>
      <c r="B107" s="5" t="s">
        <v>1181</v>
      </c>
      <c r="C107" s="5" t="s">
        <v>153</v>
      </c>
      <c r="D107" s="5" t="s">
        <v>154</v>
      </c>
      <c r="E107" s="5" t="s">
        <v>637</v>
      </c>
      <c r="F107" s="5"/>
      <c r="G107" s="5" t="s">
        <v>1137</v>
      </c>
    </row>
    <row r="108" customFormat="false" ht="15" hidden="false" customHeight="false" outlineLevel="0" collapsed="false">
      <c r="A108" s="5" t="s">
        <v>1292</v>
      </c>
      <c r="B108" s="5" t="s">
        <v>1135</v>
      </c>
      <c r="C108" s="5" t="s">
        <v>327</v>
      </c>
      <c r="D108" s="5" t="s">
        <v>328</v>
      </c>
      <c r="E108" s="5" t="s">
        <v>153</v>
      </c>
      <c r="F108" s="5" t="s">
        <v>1150</v>
      </c>
      <c r="G108" s="5" t="s">
        <v>1137</v>
      </c>
    </row>
    <row r="109" customFormat="false" ht="15" hidden="false" customHeight="false" outlineLevel="0" collapsed="false">
      <c r="A109" s="5" t="s">
        <v>1293</v>
      </c>
      <c r="B109" s="5" t="s">
        <v>1135</v>
      </c>
      <c r="C109" s="5" t="s">
        <v>327</v>
      </c>
      <c r="D109" s="5" t="s">
        <v>328</v>
      </c>
      <c r="E109" s="5" t="s">
        <v>543</v>
      </c>
      <c r="F109" s="5" t="s">
        <v>1143</v>
      </c>
      <c r="G109" s="5" t="s">
        <v>1137</v>
      </c>
    </row>
    <row r="110" customFormat="false" ht="15" hidden="false" customHeight="false" outlineLevel="0" collapsed="false">
      <c r="A110" s="5" t="s">
        <v>1294</v>
      </c>
      <c r="B110" s="5" t="s">
        <v>1135</v>
      </c>
      <c r="C110" s="5" t="s">
        <v>293</v>
      </c>
      <c r="D110" s="5" t="s">
        <v>294</v>
      </c>
      <c r="E110" s="5" t="s">
        <v>1045</v>
      </c>
      <c r="F110" s="5" t="s">
        <v>1139</v>
      </c>
      <c r="G110" s="5" t="s">
        <v>1137</v>
      </c>
    </row>
    <row r="111" customFormat="false" ht="15" hidden="false" customHeight="false" outlineLevel="0" collapsed="false">
      <c r="A111" s="5" t="s">
        <v>1295</v>
      </c>
      <c r="B111" s="5" t="s">
        <v>1135</v>
      </c>
      <c r="C111" s="5" t="s">
        <v>293</v>
      </c>
      <c r="D111" s="5" t="s">
        <v>294</v>
      </c>
      <c r="E111" s="5" t="s">
        <v>543</v>
      </c>
      <c r="F111" s="5" t="s">
        <v>1143</v>
      </c>
      <c r="G111" s="5" t="s">
        <v>1137</v>
      </c>
    </row>
    <row r="112" customFormat="false" ht="15" hidden="false" customHeight="false" outlineLevel="0" collapsed="false">
      <c r="A112" s="5" t="s">
        <v>1296</v>
      </c>
      <c r="B112" s="5" t="s">
        <v>1135</v>
      </c>
      <c r="C112" s="5" t="s">
        <v>293</v>
      </c>
      <c r="D112" s="5" t="s">
        <v>294</v>
      </c>
      <c r="E112" s="5" t="s">
        <v>1084</v>
      </c>
      <c r="F112" s="5" t="s">
        <v>1145</v>
      </c>
      <c r="G112" s="5" t="s">
        <v>1137</v>
      </c>
    </row>
    <row r="113" customFormat="false" ht="15" hidden="false" customHeight="false" outlineLevel="0" collapsed="false">
      <c r="A113" s="5" t="s">
        <v>1297</v>
      </c>
      <c r="B113" s="5" t="s">
        <v>1166</v>
      </c>
      <c r="C113" s="5" t="s">
        <v>293</v>
      </c>
      <c r="D113" s="5" t="s">
        <v>294</v>
      </c>
      <c r="E113" s="5" t="s">
        <v>1298</v>
      </c>
      <c r="F113" s="5"/>
      <c r="G113" s="5" t="s">
        <v>1137</v>
      </c>
    </row>
    <row r="114" customFormat="false" ht="15" hidden="false" customHeight="false" outlineLevel="0" collapsed="false">
      <c r="A114" s="5" t="s">
        <v>1299</v>
      </c>
      <c r="B114" s="5" t="s">
        <v>1166</v>
      </c>
      <c r="C114" s="5" t="s">
        <v>293</v>
      </c>
      <c r="D114" s="5" t="s">
        <v>294</v>
      </c>
      <c r="E114" s="5" t="s">
        <v>1300</v>
      </c>
      <c r="F114" s="5"/>
      <c r="G114" s="5" t="s">
        <v>1137</v>
      </c>
    </row>
    <row r="115" customFormat="false" ht="15" hidden="false" customHeight="false" outlineLevel="0" collapsed="false">
      <c r="A115" s="5" t="s">
        <v>1301</v>
      </c>
      <c r="B115" s="5" t="s">
        <v>1147</v>
      </c>
      <c r="C115" s="5" t="s">
        <v>293</v>
      </c>
      <c r="D115" s="5" t="s">
        <v>294</v>
      </c>
      <c r="E115" s="5" t="s">
        <v>1302</v>
      </c>
      <c r="F115" s="5"/>
      <c r="G115" s="5" t="s">
        <v>1137</v>
      </c>
    </row>
    <row r="116" customFormat="false" ht="15" hidden="false" customHeight="false" outlineLevel="0" collapsed="false">
      <c r="A116" s="5" t="s">
        <v>1303</v>
      </c>
      <c r="B116" s="5" t="s">
        <v>1135</v>
      </c>
      <c r="C116" s="5" t="s">
        <v>311</v>
      </c>
      <c r="D116" s="5" t="s">
        <v>312</v>
      </c>
      <c r="E116" s="5" t="s">
        <v>1045</v>
      </c>
      <c r="F116" s="5" t="s">
        <v>1139</v>
      </c>
      <c r="G116" s="5" t="s">
        <v>1137</v>
      </c>
    </row>
    <row r="117" customFormat="false" ht="15" hidden="false" customHeight="false" outlineLevel="0" collapsed="false">
      <c r="A117" s="5" t="s">
        <v>1304</v>
      </c>
      <c r="B117" s="5" t="s">
        <v>1135</v>
      </c>
      <c r="C117" s="5" t="s">
        <v>311</v>
      </c>
      <c r="D117" s="5" t="s">
        <v>312</v>
      </c>
      <c r="E117" s="5" t="s">
        <v>543</v>
      </c>
      <c r="F117" s="5" t="s">
        <v>1143</v>
      </c>
      <c r="G117" s="5" t="s">
        <v>1137</v>
      </c>
    </row>
    <row r="118" customFormat="false" ht="15" hidden="false" customHeight="false" outlineLevel="0" collapsed="false">
      <c r="A118" s="5" t="s">
        <v>1305</v>
      </c>
      <c r="B118" s="5" t="s">
        <v>1166</v>
      </c>
      <c r="C118" s="5" t="s">
        <v>311</v>
      </c>
      <c r="D118" s="5" t="s">
        <v>312</v>
      </c>
      <c r="E118" s="5" t="s">
        <v>1306</v>
      </c>
      <c r="F118" s="5"/>
      <c r="G118" s="5" t="s">
        <v>1137</v>
      </c>
    </row>
    <row r="119" customFormat="false" ht="15" hidden="false" customHeight="false" outlineLevel="0" collapsed="false">
      <c r="A119" s="5" t="s">
        <v>1307</v>
      </c>
      <c r="B119" s="5" t="s">
        <v>1135</v>
      </c>
      <c r="C119" s="5" t="s">
        <v>242</v>
      </c>
      <c r="D119" s="5" t="s">
        <v>243</v>
      </c>
      <c r="E119" s="5" t="s">
        <v>180</v>
      </c>
      <c r="F119" s="5" t="s">
        <v>1308</v>
      </c>
      <c r="G119" s="5" t="s">
        <v>1137</v>
      </c>
    </row>
    <row r="120" customFormat="false" ht="15" hidden="false" customHeight="false" outlineLevel="0" collapsed="false">
      <c r="A120" s="5" t="s">
        <v>1309</v>
      </c>
      <c r="B120" s="5" t="s">
        <v>1135</v>
      </c>
      <c r="C120" s="5" t="s">
        <v>242</v>
      </c>
      <c r="D120" s="5" t="s">
        <v>243</v>
      </c>
      <c r="E120" s="5" t="s">
        <v>153</v>
      </c>
      <c r="F120" s="5" t="s">
        <v>1150</v>
      </c>
      <c r="G120" s="5" t="s">
        <v>1137</v>
      </c>
    </row>
    <row r="121" customFormat="false" ht="15" hidden="false" customHeight="false" outlineLevel="0" collapsed="false">
      <c r="A121" s="5" t="s">
        <v>1310</v>
      </c>
      <c r="B121" s="5" t="s">
        <v>1166</v>
      </c>
      <c r="C121" s="5" t="s">
        <v>242</v>
      </c>
      <c r="D121" s="5" t="s">
        <v>243</v>
      </c>
      <c r="E121" s="5" t="s">
        <v>1179</v>
      </c>
      <c r="F121" s="5"/>
      <c r="G121" s="5" t="s">
        <v>1137</v>
      </c>
    </row>
    <row r="122" customFormat="false" ht="15" hidden="false" customHeight="false" outlineLevel="0" collapsed="false">
      <c r="A122" s="5" t="s">
        <v>1311</v>
      </c>
      <c r="B122" s="5" t="s">
        <v>1135</v>
      </c>
      <c r="C122" s="5" t="s">
        <v>197</v>
      </c>
      <c r="D122" s="5" t="s">
        <v>198</v>
      </c>
      <c r="E122" s="5" t="s">
        <v>1045</v>
      </c>
      <c r="F122" s="5" t="s">
        <v>1139</v>
      </c>
      <c r="G122" s="5" t="s">
        <v>1137</v>
      </c>
    </row>
    <row r="123" customFormat="false" ht="15" hidden="false" customHeight="false" outlineLevel="0" collapsed="false">
      <c r="A123" s="5" t="s">
        <v>1312</v>
      </c>
      <c r="B123" s="5" t="s">
        <v>1135</v>
      </c>
      <c r="C123" s="5" t="s">
        <v>197</v>
      </c>
      <c r="D123" s="5" t="s">
        <v>198</v>
      </c>
      <c r="E123" s="5" t="s">
        <v>543</v>
      </c>
      <c r="F123" s="5" t="s">
        <v>1143</v>
      </c>
      <c r="G123" s="5" t="s">
        <v>1137</v>
      </c>
    </row>
    <row r="124" customFormat="false" ht="15" hidden="false" customHeight="false" outlineLevel="0" collapsed="false">
      <c r="A124" s="5" t="s">
        <v>1313</v>
      </c>
      <c r="B124" s="5" t="s">
        <v>1135</v>
      </c>
      <c r="C124" s="5" t="s">
        <v>197</v>
      </c>
      <c r="D124" s="5" t="s">
        <v>198</v>
      </c>
      <c r="E124" s="5" t="s">
        <v>1084</v>
      </c>
      <c r="F124" s="5" t="s">
        <v>1145</v>
      </c>
      <c r="G124" s="5" t="s">
        <v>1137</v>
      </c>
    </row>
    <row r="125" customFormat="false" ht="15" hidden="false" customHeight="false" outlineLevel="0" collapsed="false">
      <c r="A125" s="5" t="s">
        <v>1314</v>
      </c>
      <c r="B125" s="5" t="s">
        <v>1166</v>
      </c>
      <c r="C125" s="5" t="s">
        <v>197</v>
      </c>
      <c r="D125" s="5" t="s">
        <v>198</v>
      </c>
      <c r="E125" s="5" t="s">
        <v>1315</v>
      </c>
      <c r="F125" s="5"/>
      <c r="G125" s="5" t="s">
        <v>1137</v>
      </c>
    </row>
    <row r="126" customFormat="false" ht="15" hidden="false" customHeight="false" outlineLevel="0" collapsed="false">
      <c r="A126" s="5" t="s">
        <v>1316</v>
      </c>
      <c r="B126" s="5" t="s">
        <v>1147</v>
      </c>
      <c r="C126" s="5" t="s">
        <v>197</v>
      </c>
      <c r="D126" s="5" t="s">
        <v>198</v>
      </c>
      <c r="E126" s="5" t="s">
        <v>1317</v>
      </c>
      <c r="F126" s="5"/>
      <c r="G126" s="5" t="s">
        <v>1137</v>
      </c>
    </row>
    <row r="127" customFormat="false" ht="15" hidden="false" customHeight="false" outlineLevel="0" collapsed="false">
      <c r="A127" s="5" t="s">
        <v>1318</v>
      </c>
      <c r="B127" s="5" t="s">
        <v>1135</v>
      </c>
      <c r="C127" s="5" t="s">
        <v>319</v>
      </c>
      <c r="D127" s="5" t="s">
        <v>320</v>
      </c>
      <c r="E127" s="5" t="s">
        <v>153</v>
      </c>
      <c r="F127" s="5" t="s">
        <v>1150</v>
      </c>
      <c r="G127" s="5" t="s">
        <v>1137</v>
      </c>
    </row>
    <row r="128" customFormat="false" ht="15" hidden="false" customHeight="false" outlineLevel="0" collapsed="false">
      <c r="A128" s="5" t="s">
        <v>1319</v>
      </c>
      <c r="B128" s="5" t="s">
        <v>1135</v>
      </c>
      <c r="C128" s="5" t="s">
        <v>319</v>
      </c>
      <c r="D128" s="5" t="s">
        <v>320</v>
      </c>
      <c r="E128" s="5" t="s">
        <v>476</v>
      </c>
      <c r="F128" s="5" t="s">
        <v>1175</v>
      </c>
      <c r="G128" s="5" t="s">
        <v>1137</v>
      </c>
    </row>
    <row r="129" customFormat="false" ht="15" hidden="false" customHeight="false" outlineLevel="0" collapsed="false">
      <c r="A129" s="5" t="s">
        <v>1320</v>
      </c>
      <c r="B129" s="5" t="s">
        <v>1181</v>
      </c>
      <c r="C129" s="5" t="s">
        <v>319</v>
      </c>
      <c r="D129" s="5" t="s">
        <v>320</v>
      </c>
      <c r="E129" s="5" t="s">
        <v>1321</v>
      </c>
      <c r="F129" s="5"/>
      <c r="G129" s="5" t="s">
        <v>1137</v>
      </c>
    </row>
    <row r="130" customFormat="false" ht="15" hidden="false" customHeight="false" outlineLevel="0" collapsed="false">
      <c r="A130" s="5" t="s">
        <v>1322</v>
      </c>
      <c r="B130" s="5" t="s">
        <v>1181</v>
      </c>
      <c r="C130" s="5" t="s">
        <v>319</v>
      </c>
      <c r="D130" s="5" t="s">
        <v>320</v>
      </c>
      <c r="E130" s="5" t="s">
        <v>1323</v>
      </c>
      <c r="F130" s="5"/>
      <c r="G130" s="5" t="s">
        <v>1137</v>
      </c>
    </row>
    <row r="131" customFormat="false" ht="15" hidden="false" customHeight="false" outlineLevel="0" collapsed="false">
      <c r="A131" s="5" t="s">
        <v>1324</v>
      </c>
      <c r="B131" s="5" t="s">
        <v>1181</v>
      </c>
      <c r="C131" s="5" t="s">
        <v>319</v>
      </c>
      <c r="D131" s="5" t="s">
        <v>320</v>
      </c>
      <c r="E131" s="5" t="s">
        <v>763</v>
      </c>
      <c r="F131" s="5"/>
      <c r="G131" s="5" t="s">
        <v>1137</v>
      </c>
    </row>
    <row r="132" customFormat="false" ht="15" hidden="false" customHeight="false" outlineLevel="0" collapsed="false">
      <c r="A132" s="5" t="s">
        <v>1325</v>
      </c>
      <c r="B132" s="5" t="s">
        <v>1135</v>
      </c>
      <c r="C132" s="5" t="s">
        <v>158</v>
      </c>
      <c r="D132" s="5" t="s">
        <v>159</v>
      </c>
      <c r="E132" s="5" t="s">
        <v>153</v>
      </c>
      <c r="F132" s="5" t="s">
        <v>1150</v>
      </c>
      <c r="G132" s="5" t="s">
        <v>1137</v>
      </c>
    </row>
    <row r="133" customFormat="false" ht="15" hidden="false" customHeight="false" outlineLevel="0" collapsed="false">
      <c r="A133" s="5" t="s">
        <v>1326</v>
      </c>
      <c r="B133" s="5" t="s">
        <v>1135</v>
      </c>
      <c r="C133" s="5" t="s">
        <v>158</v>
      </c>
      <c r="D133" s="5" t="s">
        <v>159</v>
      </c>
      <c r="E133" s="5" t="s">
        <v>679</v>
      </c>
      <c r="F133" s="5" t="s">
        <v>1289</v>
      </c>
      <c r="G133" s="5" t="s">
        <v>1137</v>
      </c>
    </row>
    <row r="134" customFormat="false" ht="15" hidden="false" customHeight="false" outlineLevel="0" collapsed="false">
      <c r="A134" s="5" t="s">
        <v>1327</v>
      </c>
      <c r="B134" s="5" t="s">
        <v>1135</v>
      </c>
      <c r="C134" s="5" t="s">
        <v>158</v>
      </c>
      <c r="D134" s="5" t="s">
        <v>159</v>
      </c>
      <c r="E134" s="5" t="s">
        <v>1040</v>
      </c>
      <c r="F134" s="5" t="s">
        <v>1136</v>
      </c>
      <c r="G134" s="5" t="s">
        <v>1137</v>
      </c>
    </row>
    <row r="135" customFormat="false" ht="15" hidden="false" customHeight="false" outlineLevel="0" collapsed="false">
      <c r="A135" s="5" t="s">
        <v>1328</v>
      </c>
      <c r="B135" s="5" t="s">
        <v>1135</v>
      </c>
      <c r="C135" s="5" t="s">
        <v>158</v>
      </c>
      <c r="D135" s="5" t="s">
        <v>159</v>
      </c>
      <c r="E135" s="5" t="s">
        <v>543</v>
      </c>
      <c r="F135" s="5" t="s">
        <v>1143</v>
      </c>
      <c r="G135" s="5" t="s">
        <v>1137</v>
      </c>
    </row>
    <row r="136" customFormat="false" ht="15" hidden="false" customHeight="false" outlineLevel="0" collapsed="false">
      <c r="A136" s="5" t="s">
        <v>1329</v>
      </c>
      <c r="B136" s="5" t="s">
        <v>1166</v>
      </c>
      <c r="C136" s="5" t="s">
        <v>158</v>
      </c>
      <c r="D136" s="5" t="s">
        <v>159</v>
      </c>
      <c r="E136" s="5" t="s">
        <v>1330</v>
      </c>
      <c r="F136" s="5"/>
      <c r="G136" s="5" t="s">
        <v>1137</v>
      </c>
    </row>
    <row r="137" customFormat="false" ht="15" hidden="false" customHeight="false" outlineLevel="0" collapsed="false">
      <c r="A137" s="5" t="s">
        <v>1331</v>
      </c>
      <c r="B137" s="5" t="s">
        <v>1166</v>
      </c>
      <c r="C137" s="5" t="s">
        <v>158</v>
      </c>
      <c r="D137" s="5" t="s">
        <v>159</v>
      </c>
      <c r="E137" s="5" t="s">
        <v>1332</v>
      </c>
      <c r="F137" s="5"/>
      <c r="G137" s="5" t="s">
        <v>1137</v>
      </c>
    </row>
    <row r="138" customFormat="false" ht="15" hidden="false" customHeight="false" outlineLevel="0" collapsed="false">
      <c r="A138" s="5" t="s">
        <v>1333</v>
      </c>
      <c r="B138" s="5" t="s">
        <v>1181</v>
      </c>
      <c r="C138" s="5" t="s">
        <v>158</v>
      </c>
      <c r="D138" s="5" t="s">
        <v>159</v>
      </c>
      <c r="E138" s="5" t="s">
        <v>677</v>
      </c>
      <c r="F138" s="5"/>
      <c r="G138" s="5" t="s">
        <v>1137</v>
      </c>
    </row>
    <row r="139" customFormat="false" ht="15" hidden="false" customHeight="false" outlineLevel="0" collapsed="false">
      <c r="A139" s="5" t="s">
        <v>1334</v>
      </c>
      <c r="B139" s="5" t="s">
        <v>1135</v>
      </c>
      <c r="C139" s="5" t="s">
        <v>193</v>
      </c>
      <c r="D139" s="5" t="s">
        <v>194</v>
      </c>
      <c r="E139" s="5" t="s">
        <v>543</v>
      </c>
      <c r="F139" s="5" t="s">
        <v>1143</v>
      </c>
      <c r="G139" s="5" t="s">
        <v>1137</v>
      </c>
    </row>
    <row r="140" customFormat="false" ht="15" hidden="false" customHeight="false" outlineLevel="0" collapsed="false">
      <c r="A140" s="5" t="s">
        <v>1335</v>
      </c>
      <c r="B140" s="5" t="s">
        <v>1135</v>
      </c>
      <c r="C140" s="5" t="s">
        <v>263</v>
      </c>
      <c r="D140" s="5" t="s">
        <v>264</v>
      </c>
      <c r="E140" s="5" t="s">
        <v>819</v>
      </c>
      <c r="F140" s="5" t="s">
        <v>1336</v>
      </c>
      <c r="G140" s="5" t="s">
        <v>1137</v>
      </c>
    </row>
    <row r="141" customFormat="false" ht="15" hidden="false" customHeight="false" outlineLevel="0" collapsed="false">
      <c r="A141" s="5" t="s">
        <v>1337</v>
      </c>
      <c r="B141" s="5" t="s">
        <v>1135</v>
      </c>
      <c r="C141" s="5" t="s">
        <v>263</v>
      </c>
      <c r="D141" s="5" t="s">
        <v>264</v>
      </c>
      <c r="E141" s="5" t="s">
        <v>543</v>
      </c>
      <c r="F141" s="5" t="s">
        <v>1143</v>
      </c>
      <c r="G141" s="5" t="s">
        <v>1137</v>
      </c>
    </row>
    <row r="142" customFormat="false" ht="15" hidden="false" customHeight="false" outlineLevel="0" collapsed="false">
      <c r="A142" s="5" t="s">
        <v>1338</v>
      </c>
      <c r="B142" s="5" t="s">
        <v>1135</v>
      </c>
      <c r="C142" s="5" t="s">
        <v>263</v>
      </c>
      <c r="D142" s="5" t="s">
        <v>264</v>
      </c>
      <c r="E142" s="5" t="s">
        <v>1080</v>
      </c>
      <c r="F142" s="5" t="s">
        <v>1252</v>
      </c>
      <c r="G142" s="5" t="s">
        <v>1137</v>
      </c>
    </row>
    <row r="143" customFormat="false" ht="15" hidden="false" customHeight="false" outlineLevel="0" collapsed="false">
      <c r="A143" s="5" t="s">
        <v>1339</v>
      </c>
      <c r="B143" s="5" t="s">
        <v>1135</v>
      </c>
      <c r="C143" s="5" t="s">
        <v>263</v>
      </c>
      <c r="D143" s="5" t="s">
        <v>264</v>
      </c>
      <c r="E143" s="5" t="s">
        <v>804</v>
      </c>
      <c r="F143" s="5" t="s">
        <v>1173</v>
      </c>
      <c r="G143" s="5" t="s">
        <v>1137</v>
      </c>
    </row>
    <row r="144" customFormat="false" ht="15" hidden="false" customHeight="false" outlineLevel="0" collapsed="false">
      <c r="A144" s="5" t="s">
        <v>1340</v>
      </c>
      <c r="B144" s="5" t="s">
        <v>1135</v>
      </c>
      <c r="C144" s="5" t="s">
        <v>263</v>
      </c>
      <c r="D144" s="5" t="s">
        <v>264</v>
      </c>
      <c r="E144" s="5" t="s">
        <v>476</v>
      </c>
      <c r="F144" s="5" t="s">
        <v>1175</v>
      </c>
      <c r="G144" s="5" t="s">
        <v>1137</v>
      </c>
    </row>
    <row r="145" customFormat="false" ht="15" hidden="false" customHeight="false" outlineLevel="0" collapsed="false">
      <c r="A145" s="5" t="s">
        <v>1341</v>
      </c>
      <c r="B145" s="5" t="s">
        <v>1166</v>
      </c>
      <c r="C145" s="5" t="s">
        <v>263</v>
      </c>
      <c r="D145" s="5" t="s">
        <v>264</v>
      </c>
      <c r="E145" s="5" t="s">
        <v>1342</v>
      </c>
      <c r="F145" s="5"/>
      <c r="G145" s="5" t="s">
        <v>1137</v>
      </c>
    </row>
    <row r="146" customFormat="false" ht="15" hidden="false" customHeight="false" outlineLevel="0" collapsed="false">
      <c r="A146" s="5" t="s">
        <v>1343</v>
      </c>
      <c r="B146" s="5" t="s">
        <v>1181</v>
      </c>
      <c r="C146" s="5" t="s">
        <v>263</v>
      </c>
      <c r="D146" s="5" t="s">
        <v>264</v>
      </c>
      <c r="E146" s="5" t="s">
        <v>1344</v>
      </c>
      <c r="F146" s="5"/>
      <c r="G146" s="5" t="s">
        <v>1137</v>
      </c>
    </row>
    <row r="147" customFormat="false" ht="15" hidden="false" customHeight="false" outlineLevel="0" collapsed="false">
      <c r="A147" s="5" t="s">
        <v>1345</v>
      </c>
      <c r="B147" s="5" t="s">
        <v>1181</v>
      </c>
      <c r="C147" s="5" t="s">
        <v>263</v>
      </c>
      <c r="D147" s="5" t="s">
        <v>264</v>
      </c>
      <c r="E147" s="5" t="s">
        <v>1346</v>
      </c>
      <c r="F147" s="5"/>
      <c r="G147" s="5" t="s">
        <v>1137</v>
      </c>
    </row>
    <row r="148" customFormat="false" ht="15" hidden="false" customHeight="false" outlineLevel="0" collapsed="false">
      <c r="A148" s="5" t="s">
        <v>1347</v>
      </c>
      <c r="B148" s="5" t="s">
        <v>1181</v>
      </c>
      <c r="C148" s="5" t="s">
        <v>263</v>
      </c>
      <c r="D148" s="5" t="s">
        <v>264</v>
      </c>
      <c r="E148" s="5" t="s">
        <v>1348</v>
      </c>
      <c r="F148" s="5"/>
      <c r="G148" s="5" t="s">
        <v>1137</v>
      </c>
    </row>
    <row r="149" customFormat="false" ht="15" hidden="false" customHeight="false" outlineLevel="0" collapsed="false">
      <c r="A149" s="5" t="s">
        <v>1349</v>
      </c>
      <c r="B149" s="5" t="s">
        <v>1135</v>
      </c>
      <c r="C149" s="5" t="s">
        <v>259</v>
      </c>
      <c r="D149" s="5" t="s">
        <v>260</v>
      </c>
      <c r="E149" s="5" t="s">
        <v>153</v>
      </c>
      <c r="F149" s="5" t="s">
        <v>1150</v>
      </c>
      <c r="G149" s="5" t="s">
        <v>1137</v>
      </c>
    </row>
    <row r="150" customFormat="false" ht="15" hidden="false" customHeight="false" outlineLevel="0" collapsed="false">
      <c r="A150" s="5" t="s">
        <v>1350</v>
      </c>
      <c r="B150" s="5" t="s">
        <v>1135</v>
      </c>
      <c r="C150" s="5" t="s">
        <v>259</v>
      </c>
      <c r="D150" s="5" t="s">
        <v>260</v>
      </c>
      <c r="E150" s="5" t="s">
        <v>964</v>
      </c>
      <c r="F150" s="5" t="s">
        <v>1351</v>
      </c>
      <c r="G150" s="5" t="s">
        <v>1137</v>
      </c>
    </row>
    <row r="151" customFormat="false" ht="15" hidden="false" customHeight="false" outlineLevel="0" collapsed="false">
      <c r="A151" s="5" t="s">
        <v>1352</v>
      </c>
      <c r="B151" s="5" t="s">
        <v>1135</v>
      </c>
      <c r="C151" s="5" t="s">
        <v>259</v>
      </c>
      <c r="D151" s="5" t="s">
        <v>260</v>
      </c>
      <c r="E151" s="5" t="s">
        <v>819</v>
      </c>
      <c r="F151" s="5" t="s">
        <v>1336</v>
      </c>
      <c r="G151" s="5" t="s">
        <v>1137</v>
      </c>
    </row>
    <row r="152" customFormat="false" ht="15" hidden="false" customHeight="false" outlineLevel="0" collapsed="false">
      <c r="A152" s="5" t="s">
        <v>1353</v>
      </c>
      <c r="B152" s="5" t="s">
        <v>1135</v>
      </c>
      <c r="C152" s="5" t="s">
        <v>259</v>
      </c>
      <c r="D152" s="5" t="s">
        <v>260</v>
      </c>
      <c r="E152" s="5" t="s">
        <v>543</v>
      </c>
      <c r="F152" s="5" t="s">
        <v>1143</v>
      </c>
      <c r="G152" s="5" t="s">
        <v>1137</v>
      </c>
    </row>
    <row r="153" customFormat="false" ht="15" hidden="false" customHeight="false" outlineLevel="0" collapsed="false">
      <c r="A153" s="5" t="s">
        <v>1354</v>
      </c>
      <c r="B153" s="5" t="s">
        <v>1135</v>
      </c>
      <c r="C153" s="5" t="s">
        <v>259</v>
      </c>
      <c r="D153" s="5" t="s">
        <v>260</v>
      </c>
      <c r="E153" s="5" t="s">
        <v>804</v>
      </c>
      <c r="F153" s="5" t="s">
        <v>1173</v>
      </c>
      <c r="G153" s="5" t="s">
        <v>1137</v>
      </c>
    </row>
    <row r="154" customFormat="false" ht="15" hidden="false" customHeight="false" outlineLevel="0" collapsed="false">
      <c r="A154" s="5" t="s">
        <v>1355</v>
      </c>
      <c r="B154" s="5" t="s">
        <v>1135</v>
      </c>
      <c r="C154" s="5" t="s">
        <v>259</v>
      </c>
      <c r="D154" s="5" t="s">
        <v>260</v>
      </c>
      <c r="E154" s="5" t="s">
        <v>476</v>
      </c>
      <c r="F154" s="5" t="s">
        <v>1175</v>
      </c>
      <c r="G154" s="5" t="s">
        <v>1137</v>
      </c>
    </row>
    <row r="155" customFormat="false" ht="15" hidden="false" customHeight="false" outlineLevel="0" collapsed="false">
      <c r="A155" s="5" t="s">
        <v>1356</v>
      </c>
      <c r="B155" s="5" t="s">
        <v>1166</v>
      </c>
      <c r="C155" s="5" t="s">
        <v>259</v>
      </c>
      <c r="D155" s="5" t="s">
        <v>260</v>
      </c>
      <c r="E155" s="5" t="s">
        <v>1357</v>
      </c>
      <c r="F155" s="5"/>
      <c r="G155" s="5" t="s">
        <v>1137</v>
      </c>
    </row>
    <row r="156" customFormat="false" ht="15" hidden="false" customHeight="false" outlineLevel="0" collapsed="false">
      <c r="A156" s="5" t="s">
        <v>1358</v>
      </c>
      <c r="B156" s="5" t="s">
        <v>1166</v>
      </c>
      <c r="C156" s="5" t="s">
        <v>259</v>
      </c>
      <c r="D156" s="5" t="s">
        <v>260</v>
      </c>
      <c r="E156" s="5" t="s">
        <v>1359</v>
      </c>
      <c r="F156" s="5"/>
      <c r="G156" s="5" t="s">
        <v>1137</v>
      </c>
    </row>
    <row r="157" customFormat="false" ht="15" hidden="false" customHeight="false" outlineLevel="0" collapsed="false">
      <c r="A157" s="5" t="s">
        <v>1360</v>
      </c>
      <c r="B157" s="5" t="s">
        <v>1166</v>
      </c>
      <c r="C157" s="5" t="s">
        <v>259</v>
      </c>
      <c r="D157" s="5" t="s">
        <v>260</v>
      </c>
      <c r="E157" s="5" t="s">
        <v>1361</v>
      </c>
      <c r="F157" s="5"/>
      <c r="G157" s="5" t="s">
        <v>1137</v>
      </c>
    </row>
    <row r="158" customFormat="false" ht="15" hidden="false" customHeight="false" outlineLevel="0" collapsed="false">
      <c r="A158" s="5" t="s">
        <v>1362</v>
      </c>
      <c r="B158" s="5" t="s">
        <v>1166</v>
      </c>
      <c r="C158" s="5" t="s">
        <v>259</v>
      </c>
      <c r="D158" s="5" t="s">
        <v>260</v>
      </c>
      <c r="E158" s="5" t="s">
        <v>1363</v>
      </c>
      <c r="F158" s="5"/>
      <c r="G158" s="5" t="s">
        <v>1137</v>
      </c>
    </row>
    <row r="159" customFormat="false" ht="15" hidden="false" customHeight="false" outlineLevel="0" collapsed="false">
      <c r="A159" s="5" t="s">
        <v>1364</v>
      </c>
      <c r="B159" s="5" t="s">
        <v>1166</v>
      </c>
      <c r="C159" s="5" t="s">
        <v>259</v>
      </c>
      <c r="D159" s="5" t="s">
        <v>260</v>
      </c>
      <c r="E159" s="5" t="s">
        <v>1365</v>
      </c>
      <c r="F159" s="5"/>
      <c r="G159" s="5" t="s">
        <v>1137</v>
      </c>
    </row>
    <row r="160" customFormat="false" ht="15" hidden="false" customHeight="false" outlineLevel="0" collapsed="false">
      <c r="A160" s="5" t="s">
        <v>1366</v>
      </c>
      <c r="B160" s="5" t="s">
        <v>1166</v>
      </c>
      <c r="C160" s="5" t="s">
        <v>259</v>
      </c>
      <c r="D160" s="5" t="s">
        <v>260</v>
      </c>
      <c r="E160" s="5" t="s">
        <v>1367</v>
      </c>
      <c r="F160" s="5"/>
      <c r="G160" s="5" t="s">
        <v>1137</v>
      </c>
    </row>
    <row r="161" customFormat="false" ht="15" hidden="false" customHeight="false" outlineLevel="0" collapsed="false">
      <c r="A161" s="5" t="s">
        <v>1368</v>
      </c>
      <c r="B161" s="5" t="s">
        <v>1166</v>
      </c>
      <c r="C161" s="5" t="s">
        <v>259</v>
      </c>
      <c r="D161" s="5" t="s">
        <v>260</v>
      </c>
      <c r="E161" s="5" t="s">
        <v>1369</v>
      </c>
      <c r="F161" s="5"/>
      <c r="G161" s="5" t="s">
        <v>1137</v>
      </c>
    </row>
    <row r="162" customFormat="false" ht="15" hidden="false" customHeight="false" outlineLevel="0" collapsed="false">
      <c r="A162" s="5" t="s">
        <v>1370</v>
      </c>
      <c r="B162" s="5" t="s">
        <v>1166</v>
      </c>
      <c r="C162" s="5" t="s">
        <v>259</v>
      </c>
      <c r="D162" s="5" t="s">
        <v>260</v>
      </c>
      <c r="E162" s="5" t="s">
        <v>1371</v>
      </c>
      <c r="F162" s="5"/>
      <c r="G162" s="5" t="s">
        <v>1137</v>
      </c>
    </row>
    <row r="163" customFormat="false" ht="15" hidden="false" customHeight="false" outlineLevel="0" collapsed="false">
      <c r="A163" s="5" t="s">
        <v>1372</v>
      </c>
      <c r="B163" s="5" t="s">
        <v>1166</v>
      </c>
      <c r="C163" s="5" t="s">
        <v>259</v>
      </c>
      <c r="D163" s="5" t="s">
        <v>260</v>
      </c>
      <c r="E163" s="5" t="s">
        <v>1373</v>
      </c>
      <c r="F163" s="5"/>
      <c r="G163" s="5" t="s">
        <v>1137</v>
      </c>
    </row>
    <row r="164" customFormat="false" ht="15" hidden="false" customHeight="false" outlineLevel="0" collapsed="false">
      <c r="A164" s="5" t="s">
        <v>1374</v>
      </c>
      <c r="B164" s="5" t="s">
        <v>1166</v>
      </c>
      <c r="C164" s="5" t="s">
        <v>259</v>
      </c>
      <c r="D164" s="5" t="s">
        <v>260</v>
      </c>
      <c r="E164" s="5" t="s">
        <v>1375</v>
      </c>
      <c r="F164" s="5"/>
      <c r="G164" s="5" t="s">
        <v>1137</v>
      </c>
    </row>
    <row r="165" customFormat="false" ht="15" hidden="false" customHeight="false" outlineLevel="0" collapsed="false">
      <c r="A165" s="5" t="s">
        <v>1376</v>
      </c>
      <c r="B165" s="5" t="s">
        <v>1166</v>
      </c>
      <c r="C165" s="5" t="s">
        <v>259</v>
      </c>
      <c r="D165" s="5" t="s">
        <v>260</v>
      </c>
      <c r="E165" s="5" t="s">
        <v>1377</v>
      </c>
      <c r="F165" s="5"/>
      <c r="G165" s="5" t="s">
        <v>1137</v>
      </c>
    </row>
    <row r="166" customFormat="false" ht="15" hidden="false" customHeight="false" outlineLevel="0" collapsed="false">
      <c r="A166" s="5" t="s">
        <v>1378</v>
      </c>
      <c r="B166" s="5" t="s">
        <v>1166</v>
      </c>
      <c r="C166" s="5" t="s">
        <v>259</v>
      </c>
      <c r="D166" s="5" t="s">
        <v>260</v>
      </c>
      <c r="E166" s="5" t="s">
        <v>1379</v>
      </c>
      <c r="F166" s="5"/>
      <c r="G166" s="5" t="s">
        <v>1137</v>
      </c>
    </row>
    <row r="167" customFormat="false" ht="15" hidden="false" customHeight="false" outlineLevel="0" collapsed="false">
      <c r="A167" s="5" t="s">
        <v>1380</v>
      </c>
      <c r="B167" s="5" t="s">
        <v>1166</v>
      </c>
      <c r="C167" s="5" t="s">
        <v>259</v>
      </c>
      <c r="D167" s="5" t="s">
        <v>260</v>
      </c>
      <c r="E167" s="5" t="s">
        <v>1381</v>
      </c>
      <c r="F167" s="5"/>
      <c r="G167" s="5" t="s">
        <v>1137</v>
      </c>
    </row>
    <row r="168" customFormat="false" ht="15" hidden="false" customHeight="false" outlineLevel="0" collapsed="false">
      <c r="A168" s="5" t="s">
        <v>1382</v>
      </c>
      <c r="B168" s="5" t="s">
        <v>1166</v>
      </c>
      <c r="C168" s="5" t="s">
        <v>259</v>
      </c>
      <c r="D168" s="5" t="s">
        <v>260</v>
      </c>
      <c r="E168" s="5" t="s">
        <v>1383</v>
      </c>
      <c r="F168" s="5"/>
      <c r="G168" s="5" t="s">
        <v>1137</v>
      </c>
    </row>
    <row r="169" customFormat="false" ht="15" hidden="false" customHeight="false" outlineLevel="0" collapsed="false">
      <c r="A169" s="5" t="s">
        <v>1384</v>
      </c>
      <c r="B169" s="5" t="s">
        <v>1166</v>
      </c>
      <c r="C169" s="5" t="s">
        <v>259</v>
      </c>
      <c r="D169" s="5" t="s">
        <v>260</v>
      </c>
      <c r="E169" s="5" t="s">
        <v>1385</v>
      </c>
      <c r="F169" s="5"/>
      <c r="G169" s="5" t="s">
        <v>1137</v>
      </c>
    </row>
    <row r="170" customFormat="false" ht="15" hidden="false" customHeight="false" outlineLevel="0" collapsed="false">
      <c r="A170" s="5" t="s">
        <v>1386</v>
      </c>
      <c r="B170" s="5" t="s">
        <v>1166</v>
      </c>
      <c r="C170" s="5" t="s">
        <v>259</v>
      </c>
      <c r="D170" s="5" t="s">
        <v>260</v>
      </c>
      <c r="E170" s="5" t="s">
        <v>1387</v>
      </c>
      <c r="F170" s="5"/>
      <c r="G170" s="5" t="s">
        <v>1137</v>
      </c>
    </row>
    <row r="171" customFormat="false" ht="15" hidden="false" customHeight="false" outlineLevel="0" collapsed="false">
      <c r="A171" s="5" t="s">
        <v>1388</v>
      </c>
      <c r="B171" s="5" t="s">
        <v>1166</v>
      </c>
      <c r="C171" s="5" t="s">
        <v>259</v>
      </c>
      <c r="D171" s="5" t="s">
        <v>260</v>
      </c>
      <c r="E171" s="5" t="s">
        <v>1389</v>
      </c>
      <c r="F171" s="5"/>
      <c r="G171" s="5" t="s">
        <v>1137</v>
      </c>
    </row>
    <row r="172" customFormat="false" ht="15" hidden="false" customHeight="false" outlineLevel="0" collapsed="false">
      <c r="A172" s="5" t="s">
        <v>1390</v>
      </c>
      <c r="B172" s="5" t="s">
        <v>1166</v>
      </c>
      <c r="C172" s="5" t="s">
        <v>259</v>
      </c>
      <c r="D172" s="5" t="s">
        <v>260</v>
      </c>
      <c r="E172" s="5" t="s">
        <v>1391</v>
      </c>
      <c r="F172" s="5"/>
      <c r="G172" s="5" t="s">
        <v>1137</v>
      </c>
    </row>
    <row r="173" customFormat="false" ht="15" hidden="false" customHeight="false" outlineLevel="0" collapsed="false">
      <c r="A173" s="5" t="s">
        <v>1392</v>
      </c>
      <c r="B173" s="5" t="s">
        <v>1181</v>
      </c>
      <c r="C173" s="5" t="s">
        <v>259</v>
      </c>
      <c r="D173" s="5" t="s">
        <v>260</v>
      </c>
      <c r="E173" s="5" t="s">
        <v>700</v>
      </c>
      <c r="F173" s="5"/>
      <c r="G173" s="5" t="s">
        <v>1137</v>
      </c>
    </row>
    <row r="174" customFormat="false" ht="15" hidden="false" customHeight="false" outlineLevel="0" collapsed="false">
      <c r="A174" s="5" t="s">
        <v>1393</v>
      </c>
      <c r="B174" s="5" t="s">
        <v>1135</v>
      </c>
      <c r="C174" s="5" t="s">
        <v>234</v>
      </c>
      <c r="D174" s="5" t="s">
        <v>235</v>
      </c>
      <c r="E174" s="5" t="s">
        <v>543</v>
      </c>
      <c r="F174" s="5" t="s">
        <v>1143</v>
      </c>
      <c r="G174" s="5" t="s">
        <v>1137</v>
      </c>
    </row>
    <row r="175" customFormat="false" ht="15" hidden="false" customHeight="false" outlineLevel="0" collapsed="false">
      <c r="A175" s="5" t="s">
        <v>1394</v>
      </c>
      <c r="B175" s="5" t="s">
        <v>1166</v>
      </c>
      <c r="C175" s="5" t="s">
        <v>234</v>
      </c>
      <c r="D175" s="5" t="s">
        <v>235</v>
      </c>
      <c r="E175" s="5" t="s">
        <v>1395</v>
      </c>
      <c r="F175" s="5"/>
      <c r="G175" s="5" t="s">
        <v>1137</v>
      </c>
    </row>
    <row r="176" customFormat="false" ht="15" hidden="false" customHeight="false" outlineLevel="0" collapsed="false">
      <c r="A176" s="5" t="s">
        <v>1396</v>
      </c>
      <c r="B176" s="5" t="s">
        <v>1166</v>
      </c>
      <c r="C176" s="5" t="s">
        <v>234</v>
      </c>
      <c r="D176" s="5" t="s">
        <v>235</v>
      </c>
      <c r="E176" s="5" t="s">
        <v>1209</v>
      </c>
      <c r="F176" s="5"/>
      <c r="G176" s="5" t="s">
        <v>1137</v>
      </c>
    </row>
    <row r="177" customFormat="false" ht="15" hidden="false" customHeight="false" outlineLevel="0" collapsed="false">
      <c r="A177" s="5" t="s">
        <v>1397</v>
      </c>
      <c r="B177" s="5" t="s">
        <v>1135</v>
      </c>
      <c r="C177" s="5" t="s">
        <v>708</v>
      </c>
      <c r="D177" s="5" t="s">
        <v>709</v>
      </c>
      <c r="E177" s="5" t="s">
        <v>543</v>
      </c>
      <c r="F177" s="5" t="s">
        <v>1143</v>
      </c>
      <c r="G177" s="5" t="s">
        <v>1137</v>
      </c>
    </row>
    <row r="178" customFormat="false" ht="15" hidden="false" customHeight="false" outlineLevel="0" collapsed="false">
      <c r="A178" s="5" t="s">
        <v>1398</v>
      </c>
      <c r="B178" s="5" t="s">
        <v>1135</v>
      </c>
      <c r="C178" s="5" t="s">
        <v>708</v>
      </c>
      <c r="D178" s="5" t="s">
        <v>709</v>
      </c>
      <c r="E178" s="5" t="s">
        <v>1080</v>
      </c>
      <c r="F178" s="5" t="s">
        <v>1252</v>
      </c>
      <c r="G178" s="5" t="s">
        <v>1137</v>
      </c>
    </row>
    <row r="179" customFormat="false" ht="15" hidden="false" customHeight="false" outlineLevel="0" collapsed="false">
      <c r="A179" s="5" t="s">
        <v>1399</v>
      </c>
      <c r="B179" s="5" t="s">
        <v>1135</v>
      </c>
      <c r="C179" s="5" t="s">
        <v>708</v>
      </c>
      <c r="D179" s="5" t="s">
        <v>709</v>
      </c>
      <c r="E179" s="5" t="s">
        <v>804</v>
      </c>
      <c r="F179" s="5" t="s">
        <v>1173</v>
      </c>
      <c r="G179" s="5" t="s">
        <v>1137</v>
      </c>
    </row>
    <row r="180" customFormat="false" ht="15" hidden="false" customHeight="false" outlineLevel="0" collapsed="false">
      <c r="A180" s="5" t="s">
        <v>1400</v>
      </c>
      <c r="B180" s="5" t="s">
        <v>1135</v>
      </c>
      <c r="C180" s="5" t="s">
        <v>255</v>
      </c>
      <c r="D180" s="5" t="s">
        <v>256</v>
      </c>
      <c r="E180" s="5" t="s">
        <v>153</v>
      </c>
      <c r="F180" s="5" t="s">
        <v>1150</v>
      </c>
      <c r="G180" s="5" t="s">
        <v>1137</v>
      </c>
    </row>
    <row r="181" customFormat="false" ht="15" hidden="false" customHeight="false" outlineLevel="0" collapsed="false">
      <c r="A181" s="5" t="s">
        <v>1401</v>
      </c>
      <c r="B181" s="5" t="s">
        <v>1135</v>
      </c>
      <c r="C181" s="5" t="s">
        <v>255</v>
      </c>
      <c r="D181" s="5" t="s">
        <v>256</v>
      </c>
      <c r="E181" s="5" t="s">
        <v>543</v>
      </c>
      <c r="F181" s="5" t="s">
        <v>1143</v>
      </c>
      <c r="G181" s="5" t="s">
        <v>1137</v>
      </c>
    </row>
    <row r="182" customFormat="false" ht="15" hidden="false" customHeight="false" outlineLevel="0" collapsed="false">
      <c r="A182" s="5" t="s">
        <v>1402</v>
      </c>
      <c r="B182" s="5" t="s">
        <v>1166</v>
      </c>
      <c r="C182" s="5" t="s">
        <v>255</v>
      </c>
      <c r="D182" s="5" t="s">
        <v>256</v>
      </c>
      <c r="E182" s="5" t="s">
        <v>1403</v>
      </c>
      <c r="F182" s="5"/>
      <c r="G182" s="5" t="s">
        <v>1137</v>
      </c>
    </row>
    <row r="183" customFormat="false" ht="15" hidden="false" customHeight="false" outlineLevel="0" collapsed="false">
      <c r="A183" s="5" t="s">
        <v>1404</v>
      </c>
      <c r="B183" s="5" t="s">
        <v>1135</v>
      </c>
      <c r="C183" s="5" t="s">
        <v>185</v>
      </c>
      <c r="D183" s="5" t="s">
        <v>186</v>
      </c>
      <c r="E183" s="5" t="s">
        <v>153</v>
      </c>
      <c r="F183" s="5" t="s">
        <v>1150</v>
      </c>
      <c r="G183" s="5" t="s">
        <v>1137</v>
      </c>
    </row>
    <row r="184" customFormat="false" ht="15" hidden="false" customHeight="false" outlineLevel="0" collapsed="false">
      <c r="A184" s="5" t="s">
        <v>1405</v>
      </c>
      <c r="B184" s="5" t="s">
        <v>1135</v>
      </c>
      <c r="C184" s="5" t="s">
        <v>185</v>
      </c>
      <c r="D184" s="5" t="s">
        <v>186</v>
      </c>
      <c r="E184" s="5" t="s">
        <v>543</v>
      </c>
      <c r="F184" s="5" t="s">
        <v>1143</v>
      </c>
      <c r="G184" s="5" t="s">
        <v>1137</v>
      </c>
    </row>
    <row r="185" customFormat="false" ht="15" hidden="false" customHeight="false" outlineLevel="0" collapsed="false">
      <c r="A185" s="5" t="s">
        <v>1406</v>
      </c>
      <c r="B185" s="5" t="s">
        <v>1181</v>
      </c>
      <c r="C185" s="5" t="s">
        <v>185</v>
      </c>
      <c r="D185" s="5" t="s">
        <v>186</v>
      </c>
      <c r="E185" s="5" t="s">
        <v>1407</v>
      </c>
      <c r="F185" s="5"/>
      <c r="G185" s="5" t="s">
        <v>1137</v>
      </c>
    </row>
    <row r="186" customFormat="false" ht="15" hidden="false" customHeight="false" outlineLevel="0" collapsed="false">
      <c r="A186" s="5" t="s">
        <v>1408</v>
      </c>
      <c r="B186" s="5" t="s">
        <v>1181</v>
      </c>
      <c r="C186" s="5" t="s">
        <v>185</v>
      </c>
      <c r="D186" s="5" t="s">
        <v>186</v>
      </c>
      <c r="E186" s="5" t="s">
        <v>1409</v>
      </c>
      <c r="F186" s="5"/>
      <c r="G186" s="5" t="s">
        <v>1137</v>
      </c>
    </row>
    <row r="187" customFormat="false" ht="15" hidden="false" customHeight="false" outlineLevel="0" collapsed="false">
      <c r="A187" s="5" t="s">
        <v>1410</v>
      </c>
      <c r="B187" s="5" t="s">
        <v>1135</v>
      </c>
      <c r="C187" s="5" t="s">
        <v>297</v>
      </c>
      <c r="D187" s="5" t="s">
        <v>298</v>
      </c>
      <c r="E187" s="5" t="s">
        <v>543</v>
      </c>
      <c r="F187" s="5" t="s">
        <v>1143</v>
      </c>
      <c r="G187" s="5" t="s">
        <v>1137</v>
      </c>
    </row>
    <row r="188" customFormat="false" ht="15" hidden="false" customHeight="false" outlineLevel="0" collapsed="false">
      <c r="A188" s="5" t="s">
        <v>1411</v>
      </c>
      <c r="B188" s="5" t="s">
        <v>1166</v>
      </c>
      <c r="C188" s="5" t="s">
        <v>306</v>
      </c>
      <c r="D188" s="5" t="s">
        <v>307</v>
      </c>
      <c r="E188" s="5" t="s">
        <v>1412</v>
      </c>
      <c r="F188" s="5"/>
      <c r="G188" s="5" t="s">
        <v>1137</v>
      </c>
    </row>
    <row r="189" customFormat="false" ht="15" hidden="false" customHeight="false" outlineLevel="0" collapsed="false">
      <c r="A189" s="5" t="s">
        <v>1413</v>
      </c>
      <c r="B189" s="5" t="s">
        <v>1135</v>
      </c>
      <c r="C189" s="5" t="s">
        <v>189</v>
      </c>
      <c r="D189" s="5" t="s">
        <v>190</v>
      </c>
      <c r="E189" s="5" t="s">
        <v>731</v>
      </c>
      <c r="F189" s="5" t="s">
        <v>1414</v>
      </c>
      <c r="G189" s="5" t="s">
        <v>1137</v>
      </c>
    </row>
    <row r="190" customFormat="false" ht="15" hidden="false" customHeight="false" outlineLevel="0" collapsed="false">
      <c r="A190" s="5" t="s">
        <v>1415</v>
      </c>
      <c r="B190" s="5" t="s">
        <v>1166</v>
      </c>
      <c r="C190" s="5" t="s">
        <v>189</v>
      </c>
      <c r="D190" s="5" t="s">
        <v>190</v>
      </c>
      <c r="E190" s="5" t="s">
        <v>1416</v>
      </c>
      <c r="F190" s="5"/>
      <c r="G190" s="5" t="s">
        <v>1137</v>
      </c>
    </row>
    <row r="191" customFormat="false" ht="15" hidden="false" customHeight="false" outlineLevel="0" collapsed="false">
      <c r="A191" s="5" t="s">
        <v>1417</v>
      </c>
      <c r="B191" s="5" t="s">
        <v>1166</v>
      </c>
      <c r="C191" s="5" t="s">
        <v>189</v>
      </c>
      <c r="D191" s="5" t="s">
        <v>190</v>
      </c>
      <c r="E191" s="5" t="s">
        <v>1418</v>
      </c>
      <c r="F191" s="5"/>
      <c r="G191" s="5" t="s">
        <v>1137</v>
      </c>
    </row>
    <row r="192" customFormat="false" ht="15" hidden="false" customHeight="false" outlineLevel="0" collapsed="false">
      <c r="A192" s="5" t="s">
        <v>1419</v>
      </c>
      <c r="B192" s="5" t="s">
        <v>1420</v>
      </c>
      <c r="C192" s="5" t="s">
        <v>189</v>
      </c>
      <c r="D192" s="5" t="s">
        <v>190</v>
      </c>
      <c r="E192" s="5" t="s">
        <v>1421</v>
      </c>
      <c r="F192" s="5"/>
      <c r="G192" s="5" t="s">
        <v>1137</v>
      </c>
    </row>
    <row r="193" customFormat="false" ht="15" hidden="false" customHeight="false" outlineLevel="0" collapsed="false">
      <c r="A193" s="5" t="s">
        <v>1422</v>
      </c>
      <c r="B193" s="5" t="s">
        <v>1423</v>
      </c>
      <c r="C193" s="5" t="s">
        <v>189</v>
      </c>
      <c r="D193" s="5" t="s">
        <v>190</v>
      </c>
      <c r="E193" s="5" t="s">
        <v>1421</v>
      </c>
      <c r="F193" s="5"/>
      <c r="G193" s="5" t="s">
        <v>1137</v>
      </c>
    </row>
    <row r="194" customFormat="false" ht="23.85" hidden="false" customHeight="false" outlineLevel="0" collapsed="false">
      <c r="A194" s="5" t="s">
        <v>1424</v>
      </c>
      <c r="B194" s="5" t="s">
        <v>1135</v>
      </c>
      <c r="C194" s="5" t="s">
        <v>735</v>
      </c>
      <c r="D194" s="5" t="s">
        <v>736</v>
      </c>
      <c r="E194" s="5" t="s">
        <v>153</v>
      </c>
      <c r="F194" s="5" t="s">
        <v>1150</v>
      </c>
      <c r="G194" s="5" t="s">
        <v>1275</v>
      </c>
    </row>
    <row r="195" customFormat="false" ht="23.85" hidden="false" customHeight="false" outlineLevel="0" collapsed="false">
      <c r="A195" s="5" t="s">
        <v>1425</v>
      </c>
      <c r="B195" s="5" t="s">
        <v>1135</v>
      </c>
      <c r="C195" s="5" t="s">
        <v>735</v>
      </c>
      <c r="D195" s="5" t="s">
        <v>736</v>
      </c>
      <c r="E195" s="5" t="s">
        <v>1045</v>
      </c>
      <c r="F195" s="5" t="s">
        <v>1139</v>
      </c>
      <c r="G195" s="5" t="s">
        <v>1275</v>
      </c>
    </row>
    <row r="196" customFormat="false" ht="23.85" hidden="false" customHeight="false" outlineLevel="0" collapsed="false">
      <c r="A196" s="5" t="s">
        <v>1426</v>
      </c>
      <c r="B196" s="5" t="s">
        <v>1135</v>
      </c>
      <c r="C196" s="5" t="s">
        <v>735</v>
      </c>
      <c r="D196" s="5" t="s">
        <v>736</v>
      </c>
      <c r="E196" s="5" t="s">
        <v>543</v>
      </c>
      <c r="F196" s="5" t="s">
        <v>1143</v>
      </c>
      <c r="G196" s="5" t="s">
        <v>1275</v>
      </c>
    </row>
    <row r="197" customFormat="false" ht="23.85" hidden="false" customHeight="false" outlineLevel="0" collapsed="false">
      <c r="A197" s="5" t="s">
        <v>1427</v>
      </c>
      <c r="B197" s="5" t="s">
        <v>1135</v>
      </c>
      <c r="C197" s="5" t="s">
        <v>735</v>
      </c>
      <c r="D197" s="5" t="s">
        <v>736</v>
      </c>
      <c r="E197" s="5" t="s">
        <v>1084</v>
      </c>
      <c r="F197" s="5" t="s">
        <v>1145</v>
      </c>
      <c r="G197" s="5" t="s">
        <v>1275</v>
      </c>
    </row>
    <row r="198" customFormat="false" ht="23.85" hidden="false" customHeight="false" outlineLevel="0" collapsed="false">
      <c r="A198" s="5" t="s">
        <v>1428</v>
      </c>
      <c r="B198" s="5" t="s">
        <v>1147</v>
      </c>
      <c r="C198" s="5" t="s">
        <v>735</v>
      </c>
      <c r="D198" s="5" t="s">
        <v>736</v>
      </c>
      <c r="E198" s="5" t="s">
        <v>1429</v>
      </c>
      <c r="F198" s="5"/>
      <c r="G198" s="5" t="s">
        <v>1275</v>
      </c>
    </row>
    <row r="199" customFormat="false" ht="23.85" hidden="false" customHeight="false" outlineLevel="0" collapsed="false">
      <c r="A199" s="5" t="s">
        <v>1430</v>
      </c>
      <c r="B199" s="5" t="s">
        <v>1431</v>
      </c>
      <c r="C199" s="5" t="s">
        <v>735</v>
      </c>
      <c r="D199" s="5" t="s">
        <v>736</v>
      </c>
      <c r="E199" s="5" t="s">
        <v>1432</v>
      </c>
      <c r="F199" s="5"/>
      <c r="G199" s="5" t="s">
        <v>1275</v>
      </c>
    </row>
    <row r="200" customFormat="false" ht="23.85" hidden="false" customHeight="false" outlineLevel="0" collapsed="false">
      <c r="A200" s="5" t="s">
        <v>1433</v>
      </c>
      <c r="B200" s="5" t="s">
        <v>1431</v>
      </c>
      <c r="C200" s="5" t="s">
        <v>735</v>
      </c>
      <c r="D200" s="5" t="s">
        <v>736</v>
      </c>
      <c r="E200" s="5" t="s">
        <v>1434</v>
      </c>
      <c r="F200" s="5"/>
      <c r="G200" s="5" t="s">
        <v>1275</v>
      </c>
    </row>
    <row r="201" customFormat="false" ht="15" hidden="false" customHeight="false" outlineLevel="0" collapsed="false">
      <c r="A201" s="5" t="s">
        <v>1435</v>
      </c>
      <c r="B201" s="5" t="s">
        <v>1166</v>
      </c>
      <c r="C201" s="5" t="s">
        <v>246</v>
      </c>
      <c r="D201" s="5" t="s">
        <v>247</v>
      </c>
      <c r="E201" s="5" t="s">
        <v>1436</v>
      </c>
      <c r="F201" s="5"/>
      <c r="G201" s="5" t="s">
        <v>1137</v>
      </c>
    </row>
    <row r="202" customFormat="false" ht="15" hidden="false" customHeight="false" outlineLevel="0" collapsed="false">
      <c r="A202" s="5" t="s">
        <v>1437</v>
      </c>
      <c r="B202" s="5" t="s">
        <v>1166</v>
      </c>
      <c r="C202" s="5" t="s">
        <v>246</v>
      </c>
      <c r="D202" s="5" t="s">
        <v>247</v>
      </c>
      <c r="E202" s="5" t="s">
        <v>1438</v>
      </c>
      <c r="F202" s="5"/>
      <c r="G202" s="5" t="s">
        <v>1137</v>
      </c>
    </row>
    <row r="203" customFormat="false" ht="15" hidden="false" customHeight="false" outlineLevel="0" collapsed="false">
      <c r="A203" s="5" t="s">
        <v>1439</v>
      </c>
      <c r="B203" s="5" t="s">
        <v>1135</v>
      </c>
      <c r="C203" s="5" t="s">
        <v>143</v>
      </c>
      <c r="D203" s="5" t="s">
        <v>144</v>
      </c>
      <c r="E203" s="5" t="s">
        <v>731</v>
      </c>
      <c r="F203" s="5" t="s">
        <v>1414</v>
      </c>
      <c r="G203" s="5" t="s">
        <v>1137</v>
      </c>
    </row>
    <row r="204" customFormat="false" ht="15" hidden="false" customHeight="false" outlineLevel="0" collapsed="false">
      <c r="A204" s="5" t="s">
        <v>1440</v>
      </c>
      <c r="B204" s="5" t="s">
        <v>1135</v>
      </c>
      <c r="C204" s="5" t="s">
        <v>143</v>
      </c>
      <c r="D204" s="5" t="s">
        <v>144</v>
      </c>
      <c r="E204" s="5" t="s">
        <v>1084</v>
      </c>
      <c r="F204" s="5" t="s">
        <v>1145</v>
      </c>
      <c r="G204" s="5" t="s">
        <v>1137</v>
      </c>
    </row>
    <row r="205" customFormat="false" ht="15" hidden="false" customHeight="false" outlineLevel="0" collapsed="false">
      <c r="A205" s="5" t="s">
        <v>1441</v>
      </c>
      <c r="B205" s="5" t="s">
        <v>1135</v>
      </c>
      <c r="C205" s="5" t="s">
        <v>143</v>
      </c>
      <c r="D205" s="5" t="s">
        <v>144</v>
      </c>
      <c r="E205" s="5" t="s">
        <v>1038</v>
      </c>
      <c r="F205" s="5" t="s">
        <v>1442</v>
      </c>
      <c r="G205" s="5" t="s">
        <v>1137</v>
      </c>
    </row>
    <row r="206" customFormat="false" ht="15" hidden="false" customHeight="false" outlineLevel="0" collapsed="false">
      <c r="A206" s="5" t="s">
        <v>1443</v>
      </c>
      <c r="B206" s="5" t="s">
        <v>1135</v>
      </c>
      <c r="C206" s="5" t="s">
        <v>143</v>
      </c>
      <c r="D206" s="5" t="s">
        <v>144</v>
      </c>
      <c r="E206" s="5" t="s">
        <v>1092</v>
      </c>
      <c r="F206" s="5" t="s">
        <v>1444</v>
      </c>
      <c r="G206" s="5" t="s">
        <v>1137</v>
      </c>
    </row>
    <row r="207" customFormat="false" ht="15" hidden="false" customHeight="false" outlineLevel="0" collapsed="false">
      <c r="A207" s="5" t="s">
        <v>1445</v>
      </c>
      <c r="B207" s="5" t="s">
        <v>1135</v>
      </c>
      <c r="C207" s="5" t="s">
        <v>143</v>
      </c>
      <c r="D207" s="5" t="s">
        <v>144</v>
      </c>
      <c r="E207" s="5" t="s">
        <v>804</v>
      </c>
      <c r="F207" s="5" t="s">
        <v>1173</v>
      </c>
      <c r="G207" s="5" t="s">
        <v>1137</v>
      </c>
    </row>
    <row r="208" customFormat="false" ht="15" hidden="false" customHeight="false" outlineLevel="0" collapsed="false">
      <c r="A208" s="5" t="s">
        <v>1446</v>
      </c>
      <c r="B208" s="5" t="s">
        <v>1166</v>
      </c>
      <c r="C208" s="5" t="s">
        <v>143</v>
      </c>
      <c r="D208" s="5" t="s">
        <v>144</v>
      </c>
      <c r="E208" s="5" t="s">
        <v>1447</v>
      </c>
      <c r="F208" s="5"/>
      <c r="G208" s="5" t="s">
        <v>1137</v>
      </c>
    </row>
    <row r="209" customFormat="false" ht="15" hidden="false" customHeight="false" outlineLevel="0" collapsed="false">
      <c r="A209" s="5" t="s">
        <v>1448</v>
      </c>
      <c r="B209" s="5" t="s">
        <v>1147</v>
      </c>
      <c r="C209" s="5" t="s">
        <v>143</v>
      </c>
      <c r="D209" s="5" t="s">
        <v>144</v>
      </c>
      <c r="E209" s="5" t="s">
        <v>1449</v>
      </c>
      <c r="F209" s="5"/>
      <c r="G209" s="5" t="s">
        <v>1137</v>
      </c>
    </row>
    <row r="210" customFormat="false" ht="15" hidden="false" customHeight="false" outlineLevel="0" collapsed="false">
      <c r="A210" s="5" t="s">
        <v>1450</v>
      </c>
      <c r="B210" s="5" t="s">
        <v>1147</v>
      </c>
      <c r="C210" s="5" t="s">
        <v>143</v>
      </c>
      <c r="D210" s="5" t="s">
        <v>144</v>
      </c>
      <c r="E210" s="5" t="s">
        <v>1451</v>
      </c>
      <c r="F210" s="5"/>
      <c r="G210" s="5" t="s">
        <v>1137</v>
      </c>
    </row>
    <row r="211" customFormat="false" ht="15" hidden="false" customHeight="false" outlineLevel="0" collapsed="false">
      <c r="A211" s="5" t="s">
        <v>1452</v>
      </c>
      <c r="B211" s="5" t="s">
        <v>1147</v>
      </c>
      <c r="C211" s="5" t="s">
        <v>143</v>
      </c>
      <c r="D211" s="5" t="s">
        <v>144</v>
      </c>
      <c r="E211" s="5" t="s">
        <v>1453</v>
      </c>
      <c r="F211" s="5"/>
      <c r="G211" s="5" t="s">
        <v>1137</v>
      </c>
    </row>
    <row r="212" customFormat="false" ht="23.85" hidden="false" customHeight="false" outlineLevel="0" collapsed="false">
      <c r="A212" s="5" t="s">
        <v>1454</v>
      </c>
      <c r="B212" s="5" t="s">
        <v>1135</v>
      </c>
      <c r="C212" s="5" t="s">
        <v>754</v>
      </c>
      <c r="D212" s="5" t="s">
        <v>755</v>
      </c>
      <c r="E212" s="5" t="s">
        <v>806</v>
      </c>
      <c r="F212" s="5" t="s">
        <v>1455</v>
      </c>
      <c r="G212" s="5" t="s">
        <v>1275</v>
      </c>
    </row>
    <row r="213" customFormat="false" ht="23.85" hidden="false" customHeight="false" outlineLevel="0" collapsed="false">
      <c r="A213" s="5" t="s">
        <v>1456</v>
      </c>
      <c r="B213" s="5" t="s">
        <v>1135</v>
      </c>
      <c r="C213" s="5" t="s">
        <v>754</v>
      </c>
      <c r="D213" s="5" t="s">
        <v>755</v>
      </c>
      <c r="E213" s="5" t="s">
        <v>731</v>
      </c>
      <c r="F213" s="5" t="s">
        <v>1414</v>
      </c>
      <c r="G213" s="5" t="s">
        <v>1275</v>
      </c>
    </row>
    <row r="214" customFormat="false" ht="23.85" hidden="false" customHeight="false" outlineLevel="0" collapsed="false">
      <c r="A214" s="5" t="s">
        <v>1457</v>
      </c>
      <c r="B214" s="5" t="s">
        <v>1135</v>
      </c>
      <c r="C214" s="5" t="s">
        <v>754</v>
      </c>
      <c r="D214" s="5" t="s">
        <v>755</v>
      </c>
      <c r="E214" s="5" t="s">
        <v>924</v>
      </c>
      <c r="F214" s="5" t="s">
        <v>1458</v>
      </c>
      <c r="G214" s="5" t="s">
        <v>1275</v>
      </c>
    </row>
    <row r="215" customFormat="false" ht="23.85" hidden="false" customHeight="false" outlineLevel="0" collapsed="false">
      <c r="A215" s="5" t="s">
        <v>1459</v>
      </c>
      <c r="B215" s="5" t="s">
        <v>1135</v>
      </c>
      <c r="C215" s="5" t="s">
        <v>754</v>
      </c>
      <c r="D215" s="5" t="s">
        <v>755</v>
      </c>
      <c r="E215" s="5" t="s">
        <v>543</v>
      </c>
      <c r="F215" s="5" t="s">
        <v>1143</v>
      </c>
      <c r="G215" s="5" t="s">
        <v>1275</v>
      </c>
    </row>
    <row r="216" customFormat="false" ht="23.85" hidden="false" customHeight="false" outlineLevel="0" collapsed="false">
      <c r="A216" s="5" t="s">
        <v>1460</v>
      </c>
      <c r="B216" s="5" t="s">
        <v>1135</v>
      </c>
      <c r="C216" s="5" t="s">
        <v>754</v>
      </c>
      <c r="D216" s="5" t="s">
        <v>755</v>
      </c>
      <c r="E216" s="5" t="s">
        <v>476</v>
      </c>
      <c r="F216" s="5" t="s">
        <v>1175</v>
      </c>
      <c r="G216" s="5" t="s">
        <v>1275</v>
      </c>
    </row>
    <row r="217" customFormat="false" ht="23.85" hidden="false" customHeight="false" outlineLevel="0" collapsed="false">
      <c r="A217" s="5" t="s">
        <v>1461</v>
      </c>
      <c r="B217" s="5" t="s">
        <v>1166</v>
      </c>
      <c r="C217" s="5" t="s">
        <v>754</v>
      </c>
      <c r="D217" s="5" t="s">
        <v>755</v>
      </c>
      <c r="E217" s="5" t="s">
        <v>1462</v>
      </c>
      <c r="F217" s="5"/>
      <c r="G217" s="5" t="s">
        <v>1275</v>
      </c>
    </row>
    <row r="218" customFormat="false" ht="23.85" hidden="false" customHeight="false" outlineLevel="0" collapsed="false">
      <c r="A218" s="5" t="s">
        <v>1463</v>
      </c>
      <c r="B218" s="5" t="s">
        <v>1181</v>
      </c>
      <c r="C218" s="5" t="s">
        <v>754</v>
      </c>
      <c r="D218" s="5" t="s">
        <v>755</v>
      </c>
      <c r="E218" s="5" t="s">
        <v>763</v>
      </c>
      <c r="F218" s="5"/>
      <c r="G218" s="5" t="s">
        <v>1275</v>
      </c>
    </row>
    <row r="219" customFormat="false" ht="23.85" hidden="false" customHeight="false" outlineLevel="0" collapsed="false">
      <c r="A219" s="5" t="s">
        <v>1464</v>
      </c>
      <c r="B219" s="5" t="s">
        <v>1135</v>
      </c>
      <c r="C219" s="5" t="s">
        <v>770</v>
      </c>
      <c r="D219" s="5" t="s">
        <v>771</v>
      </c>
      <c r="E219" s="5" t="s">
        <v>731</v>
      </c>
      <c r="F219" s="5" t="s">
        <v>1414</v>
      </c>
      <c r="G219" s="5" t="s">
        <v>1275</v>
      </c>
    </row>
    <row r="220" customFormat="false" ht="23.85" hidden="false" customHeight="false" outlineLevel="0" collapsed="false">
      <c r="A220" s="5" t="s">
        <v>1465</v>
      </c>
      <c r="B220" s="5" t="s">
        <v>1135</v>
      </c>
      <c r="C220" s="5" t="s">
        <v>770</v>
      </c>
      <c r="D220" s="5" t="s">
        <v>771</v>
      </c>
      <c r="E220" s="5" t="s">
        <v>543</v>
      </c>
      <c r="F220" s="5" t="s">
        <v>1143</v>
      </c>
      <c r="G220" s="5" t="s">
        <v>1275</v>
      </c>
    </row>
    <row r="221" customFormat="false" ht="23.85" hidden="false" customHeight="false" outlineLevel="0" collapsed="false">
      <c r="A221" s="5" t="s">
        <v>1466</v>
      </c>
      <c r="B221" s="5" t="s">
        <v>1423</v>
      </c>
      <c r="C221" s="5" t="s">
        <v>770</v>
      </c>
      <c r="D221" s="5" t="s">
        <v>771</v>
      </c>
      <c r="E221" s="5" t="s">
        <v>1467</v>
      </c>
      <c r="F221" s="5"/>
      <c r="G221" s="5" t="s">
        <v>1275</v>
      </c>
    </row>
    <row r="222" customFormat="false" ht="23.85" hidden="false" customHeight="false" outlineLevel="0" collapsed="false">
      <c r="A222" s="5" t="s">
        <v>1468</v>
      </c>
      <c r="B222" s="5" t="s">
        <v>1135</v>
      </c>
      <c r="C222" s="5" t="s">
        <v>777</v>
      </c>
      <c r="D222" s="5" t="s">
        <v>778</v>
      </c>
      <c r="E222" s="5" t="s">
        <v>543</v>
      </c>
      <c r="F222" s="5" t="s">
        <v>1143</v>
      </c>
      <c r="G222" s="5" t="s">
        <v>1275</v>
      </c>
    </row>
    <row r="223" customFormat="false" ht="23.85" hidden="false" customHeight="false" outlineLevel="0" collapsed="false">
      <c r="A223" s="5" t="s">
        <v>1469</v>
      </c>
      <c r="B223" s="5" t="s">
        <v>1135</v>
      </c>
      <c r="C223" s="5" t="s">
        <v>781</v>
      </c>
      <c r="D223" s="5" t="s">
        <v>782</v>
      </c>
      <c r="E223" s="5" t="s">
        <v>731</v>
      </c>
      <c r="F223" s="5" t="s">
        <v>1414</v>
      </c>
      <c r="G223" s="5" t="s">
        <v>1275</v>
      </c>
    </row>
    <row r="224" customFormat="false" ht="23.85" hidden="false" customHeight="false" outlineLevel="0" collapsed="false">
      <c r="A224" s="5" t="s">
        <v>1470</v>
      </c>
      <c r="B224" s="5" t="s">
        <v>1135</v>
      </c>
      <c r="C224" s="5" t="s">
        <v>781</v>
      </c>
      <c r="D224" s="5" t="s">
        <v>782</v>
      </c>
      <c r="E224" s="5" t="s">
        <v>982</v>
      </c>
      <c r="F224" s="5" t="s">
        <v>1471</v>
      </c>
      <c r="G224" s="5" t="s">
        <v>1275</v>
      </c>
    </row>
    <row r="225" customFormat="false" ht="23.85" hidden="false" customHeight="false" outlineLevel="0" collapsed="false">
      <c r="A225" s="5" t="s">
        <v>1472</v>
      </c>
      <c r="B225" s="5" t="s">
        <v>1135</v>
      </c>
      <c r="C225" s="5" t="s">
        <v>781</v>
      </c>
      <c r="D225" s="5" t="s">
        <v>782</v>
      </c>
      <c r="E225" s="5" t="s">
        <v>804</v>
      </c>
      <c r="F225" s="5" t="s">
        <v>1173</v>
      </c>
      <c r="G225" s="5" t="s">
        <v>1275</v>
      </c>
    </row>
    <row r="226" customFormat="false" ht="23.85" hidden="false" customHeight="false" outlineLevel="0" collapsed="false">
      <c r="A226" s="5" t="s">
        <v>1473</v>
      </c>
      <c r="B226" s="5" t="s">
        <v>1135</v>
      </c>
      <c r="C226" s="5" t="s">
        <v>781</v>
      </c>
      <c r="D226" s="5" t="s">
        <v>782</v>
      </c>
      <c r="E226" s="5" t="s">
        <v>476</v>
      </c>
      <c r="F226" s="5" t="s">
        <v>1175</v>
      </c>
      <c r="G226" s="5" t="s">
        <v>1275</v>
      </c>
    </row>
    <row r="227" customFormat="false" ht="23.85" hidden="false" customHeight="false" outlineLevel="0" collapsed="false">
      <c r="A227" s="5" t="s">
        <v>1474</v>
      </c>
      <c r="B227" s="5" t="s">
        <v>1423</v>
      </c>
      <c r="C227" s="5" t="s">
        <v>781</v>
      </c>
      <c r="D227" s="5" t="s">
        <v>782</v>
      </c>
      <c r="E227" s="5" t="s">
        <v>1475</v>
      </c>
      <c r="F227" s="5"/>
      <c r="G227" s="5" t="s">
        <v>1275</v>
      </c>
    </row>
    <row r="228" customFormat="false" ht="23.85" hidden="false" customHeight="false" outlineLevel="0" collapsed="false">
      <c r="A228" s="5" t="s">
        <v>1476</v>
      </c>
      <c r="B228" s="5" t="s">
        <v>1423</v>
      </c>
      <c r="C228" s="5" t="s">
        <v>781</v>
      </c>
      <c r="D228" s="5" t="s">
        <v>782</v>
      </c>
      <c r="E228" s="5" t="s">
        <v>1467</v>
      </c>
      <c r="F228" s="5"/>
      <c r="G228" s="5" t="s">
        <v>1275</v>
      </c>
    </row>
    <row r="229" customFormat="false" ht="23.85" hidden="false" customHeight="false" outlineLevel="0" collapsed="false">
      <c r="A229" s="5" t="s">
        <v>1477</v>
      </c>
      <c r="B229" s="5" t="s">
        <v>1423</v>
      </c>
      <c r="C229" s="5" t="s">
        <v>781</v>
      </c>
      <c r="D229" s="5" t="s">
        <v>782</v>
      </c>
      <c r="E229" s="5" t="s">
        <v>1421</v>
      </c>
      <c r="F229" s="5"/>
      <c r="G229" s="5" t="s">
        <v>1275</v>
      </c>
    </row>
    <row r="230" customFormat="false" ht="23.85" hidden="false" customHeight="false" outlineLevel="0" collapsed="false">
      <c r="A230" s="5" t="s">
        <v>1478</v>
      </c>
      <c r="B230" s="5" t="s">
        <v>1181</v>
      </c>
      <c r="C230" s="5" t="s">
        <v>781</v>
      </c>
      <c r="D230" s="5" t="s">
        <v>782</v>
      </c>
      <c r="E230" s="5" t="s">
        <v>788</v>
      </c>
      <c r="F230" s="5"/>
      <c r="G230" s="5" t="s">
        <v>1275</v>
      </c>
    </row>
    <row r="231" customFormat="false" ht="23.85" hidden="false" customHeight="false" outlineLevel="0" collapsed="false">
      <c r="A231" s="5" t="s">
        <v>1479</v>
      </c>
      <c r="B231" s="5" t="s">
        <v>1135</v>
      </c>
      <c r="C231" s="5" t="s">
        <v>790</v>
      </c>
      <c r="D231" s="5" t="s">
        <v>791</v>
      </c>
      <c r="E231" s="5" t="s">
        <v>800</v>
      </c>
      <c r="F231" s="5" t="s">
        <v>1480</v>
      </c>
      <c r="G231" s="5" t="s">
        <v>1275</v>
      </c>
    </row>
    <row r="232" customFormat="false" ht="23.85" hidden="false" customHeight="false" outlineLevel="0" collapsed="false">
      <c r="A232" s="5" t="s">
        <v>1481</v>
      </c>
      <c r="B232" s="5" t="s">
        <v>1135</v>
      </c>
      <c r="C232" s="5" t="s">
        <v>790</v>
      </c>
      <c r="D232" s="5" t="s">
        <v>791</v>
      </c>
      <c r="E232" s="5" t="s">
        <v>806</v>
      </c>
      <c r="F232" s="5" t="s">
        <v>1455</v>
      </c>
      <c r="G232" s="5" t="s">
        <v>1275</v>
      </c>
    </row>
    <row r="233" customFormat="false" ht="23.85" hidden="false" customHeight="false" outlineLevel="0" collapsed="false">
      <c r="A233" s="5" t="s">
        <v>1482</v>
      </c>
      <c r="B233" s="5" t="s">
        <v>1135</v>
      </c>
      <c r="C233" s="5" t="s">
        <v>790</v>
      </c>
      <c r="D233" s="5" t="s">
        <v>791</v>
      </c>
      <c r="E233" s="5" t="s">
        <v>731</v>
      </c>
      <c r="F233" s="5" t="s">
        <v>1414</v>
      </c>
      <c r="G233" s="5" t="s">
        <v>1275</v>
      </c>
    </row>
    <row r="234" customFormat="false" ht="23.85" hidden="false" customHeight="false" outlineLevel="0" collapsed="false">
      <c r="A234" s="5" t="s">
        <v>1483</v>
      </c>
      <c r="B234" s="5" t="s">
        <v>1135</v>
      </c>
      <c r="C234" s="5" t="s">
        <v>790</v>
      </c>
      <c r="D234" s="5" t="s">
        <v>791</v>
      </c>
      <c r="E234" s="5" t="s">
        <v>1045</v>
      </c>
      <c r="F234" s="5" t="s">
        <v>1139</v>
      </c>
      <c r="G234" s="5" t="s">
        <v>1275</v>
      </c>
    </row>
    <row r="235" customFormat="false" ht="23.85" hidden="false" customHeight="false" outlineLevel="0" collapsed="false">
      <c r="A235" s="5" t="s">
        <v>1484</v>
      </c>
      <c r="B235" s="5" t="s">
        <v>1135</v>
      </c>
      <c r="C235" s="5" t="s">
        <v>790</v>
      </c>
      <c r="D235" s="5" t="s">
        <v>791</v>
      </c>
      <c r="E235" s="5" t="s">
        <v>1051</v>
      </c>
      <c r="F235" s="5" t="s">
        <v>1485</v>
      </c>
      <c r="G235" s="5" t="s">
        <v>1275</v>
      </c>
    </row>
    <row r="236" customFormat="false" ht="23.85" hidden="false" customHeight="false" outlineLevel="0" collapsed="false">
      <c r="A236" s="5" t="s">
        <v>1486</v>
      </c>
      <c r="B236" s="5" t="s">
        <v>1135</v>
      </c>
      <c r="C236" s="5" t="s">
        <v>790</v>
      </c>
      <c r="D236" s="5" t="s">
        <v>791</v>
      </c>
      <c r="E236" s="5" t="s">
        <v>543</v>
      </c>
      <c r="F236" s="5" t="s">
        <v>1143</v>
      </c>
      <c r="G236" s="5" t="s">
        <v>1275</v>
      </c>
    </row>
    <row r="237" customFormat="false" ht="23.85" hidden="false" customHeight="false" outlineLevel="0" collapsed="false">
      <c r="A237" s="5" t="s">
        <v>1487</v>
      </c>
      <c r="B237" s="5" t="s">
        <v>1135</v>
      </c>
      <c r="C237" s="5" t="s">
        <v>790</v>
      </c>
      <c r="D237" s="5" t="s">
        <v>791</v>
      </c>
      <c r="E237" s="5" t="s">
        <v>1084</v>
      </c>
      <c r="F237" s="5" t="s">
        <v>1145</v>
      </c>
      <c r="G237" s="5" t="s">
        <v>1275</v>
      </c>
    </row>
    <row r="238" customFormat="false" ht="23.85" hidden="false" customHeight="false" outlineLevel="0" collapsed="false">
      <c r="A238" s="5" t="s">
        <v>1488</v>
      </c>
      <c r="B238" s="5" t="s">
        <v>1135</v>
      </c>
      <c r="C238" s="5" t="s">
        <v>790</v>
      </c>
      <c r="D238" s="5" t="s">
        <v>791</v>
      </c>
      <c r="E238" s="5" t="s">
        <v>804</v>
      </c>
      <c r="F238" s="5" t="s">
        <v>1173</v>
      </c>
      <c r="G238" s="5" t="s">
        <v>1275</v>
      </c>
    </row>
    <row r="239" customFormat="false" ht="23.85" hidden="false" customHeight="false" outlineLevel="0" collapsed="false">
      <c r="A239" s="5" t="s">
        <v>1489</v>
      </c>
      <c r="B239" s="5" t="s">
        <v>1135</v>
      </c>
      <c r="C239" s="5" t="s">
        <v>790</v>
      </c>
      <c r="D239" s="5" t="s">
        <v>791</v>
      </c>
      <c r="E239" s="5" t="s">
        <v>476</v>
      </c>
      <c r="F239" s="5" t="s">
        <v>1175</v>
      </c>
      <c r="G239" s="5" t="s">
        <v>1275</v>
      </c>
    </row>
    <row r="240" customFormat="false" ht="23.85" hidden="false" customHeight="false" outlineLevel="0" collapsed="false">
      <c r="A240" s="5" t="s">
        <v>1490</v>
      </c>
      <c r="B240" s="5" t="s">
        <v>1491</v>
      </c>
      <c r="C240" s="5" t="s">
        <v>790</v>
      </c>
      <c r="D240" s="5" t="s">
        <v>791</v>
      </c>
      <c r="E240" s="5" t="s">
        <v>1218</v>
      </c>
      <c r="F240" s="5"/>
      <c r="G240" s="5" t="s">
        <v>1275</v>
      </c>
    </row>
    <row r="241" customFormat="false" ht="23.85" hidden="false" customHeight="false" outlineLevel="0" collapsed="false">
      <c r="A241" s="5" t="s">
        <v>1492</v>
      </c>
      <c r="B241" s="5" t="s">
        <v>1423</v>
      </c>
      <c r="C241" s="5" t="s">
        <v>790</v>
      </c>
      <c r="D241" s="5" t="s">
        <v>791</v>
      </c>
      <c r="E241" s="5" t="s">
        <v>1467</v>
      </c>
      <c r="F241" s="5"/>
      <c r="G241" s="5" t="s">
        <v>1275</v>
      </c>
    </row>
    <row r="242" customFormat="false" ht="23.85" hidden="false" customHeight="false" outlineLevel="0" collapsed="false">
      <c r="A242" s="5" t="s">
        <v>1493</v>
      </c>
      <c r="B242" s="5" t="s">
        <v>1423</v>
      </c>
      <c r="C242" s="5" t="s">
        <v>790</v>
      </c>
      <c r="D242" s="5" t="s">
        <v>791</v>
      </c>
      <c r="E242" s="5" t="s">
        <v>1421</v>
      </c>
      <c r="F242" s="5"/>
      <c r="G242" s="5" t="s">
        <v>1275</v>
      </c>
    </row>
    <row r="243" customFormat="false" ht="23.85" hidden="false" customHeight="false" outlineLevel="0" collapsed="false">
      <c r="A243" s="5" t="s">
        <v>1494</v>
      </c>
      <c r="B243" s="5" t="s">
        <v>1181</v>
      </c>
      <c r="C243" s="5" t="s">
        <v>790</v>
      </c>
      <c r="D243" s="5" t="s">
        <v>791</v>
      </c>
      <c r="E243" s="5" t="s">
        <v>763</v>
      </c>
      <c r="F243" s="5"/>
      <c r="G243" s="5" t="s">
        <v>1275</v>
      </c>
    </row>
    <row r="244" customFormat="false" ht="23.85" hidden="false" customHeight="false" outlineLevel="0" collapsed="false">
      <c r="A244" s="5" t="s">
        <v>1495</v>
      </c>
      <c r="B244" s="5" t="s">
        <v>1135</v>
      </c>
      <c r="C244" s="5" t="s">
        <v>800</v>
      </c>
      <c r="D244" s="5" t="s">
        <v>801</v>
      </c>
      <c r="E244" s="5" t="s">
        <v>804</v>
      </c>
      <c r="F244" s="5" t="s">
        <v>1173</v>
      </c>
      <c r="G244" s="5" t="s">
        <v>1275</v>
      </c>
    </row>
    <row r="245" customFormat="false" ht="15" hidden="false" customHeight="false" outlineLevel="0" collapsed="false">
      <c r="A245" s="5" t="s">
        <v>1496</v>
      </c>
      <c r="B245" s="5" t="s">
        <v>1166</v>
      </c>
      <c r="C245" s="5" t="s">
        <v>806</v>
      </c>
      <c r="D245" s="5" t="s">
        <v>807</v>
      </c>
      <c r="E245" s="5" t="s">
        <v>1497</v>
      </c>
      <c r="F245" s="5"/>
      <c r="G245" s="5" t="s">
        <v>1137</v>
      </c>
    </row>
    <row r="246" customFormat="false" ht="15" hidden="false" customHeight="false" outlineLevel="0" collapsed="false">
      <c r="A246" s="5" t="s">
        <v>1498</v>
      </c>
      <c r="B246" s="5" t="s">
        <v>1166</v>
      </c>
      <c r="C246" s="5" t="s">
        <v>806</v>
      </c>
      <c r="D246" s="5" t="s">
        <v>807</v>
      </c>
      <c r="E246" s="5" t="s">
        <v>1499</v>
      </c>
      <c r="F246" s="5"/>
      <c r="G246" s="5" t="s">
        <v>1137</v>
      </c>
    </row>
    <row r="247" customFormat="false" ht="15" hidden="false" customHeight="false" outlineLevel="0" collapsed="false">
      <c r="A247" s="5" t="s">
        <v>1500</v>
      </c>
      <c r="B247" s="5" t="s">
        <v>1166</v>
      </c>
      <c r="C247" s="5" t="s">
        <v>806</v>
      </c>
      <c r="D247" s="5" t="s">
        <v>807</v>
      </c>
      <c r="E247" s="5" t="s">
        <v>1501</v>
      </c>
      <c r="F247" s="5"/>
      <c r="G247" s="5" t="s">
        <v>1137</v>
      </c>
    </row>
    <row r="248" customFormat="false" ht="15" hidden="false" customHeight="false" outlineLevel="0" collapsed="false">
      <c r="A248" s="5" t="s">
        <v>1502</v>
      </c>
      <c r="B248" s="5" t="s">
        <v>1135</v>
      </c>
      <c r="C248" s="5" t="s">
        <v>814</v>
      </c>
      <c r="D248" s="5" t="s">
        <v>815</v>
      </c>
      <c r="E248" s="5" t="s">
        <v>1045</v>
      </c>
      <c r="F248" s="5" t="s">
        <v>1139</v>
      </c>
      <c r="G248" s="5" t="s">
        <v>1137</v>
      </c>
    </row>
    <row r="249" customFormat="false" ht="15" hidden="false" customHeight="false" outlineLevel="0" collapsed="false">
      <c r="A249" s="5" t="s">
        <v>1503</v>
      </c>
      <c r="B249" s="5" t="s">
        <v>1135</v>
      </c>
      <c r="C249" s="5" t="s">
        <v>814</v>
      </c>
      <c r="D249" s="5" t="s">
        <v>815</v>
      </c>
      <c r="E249" s="5" t="s">
        <v>1084</v>
      </c>
      <c r="F249" s="5" t="s">
        <v>1145</v>
      </c>
      <c r="G249" s="5" t="s">
        <v>1137</v>
      </c>
    </row>
    <row r="250" customFormat="false" ht="15" hidden="false" customHeight="false" outlineLevel="0" collapsed="false">
      <c r="A250" s="5" t="s">
        <v>1504</v>
      </c>
      <c r="B250" s="5" t="s">
        <v>1135</v>
      </c>
      <c r="C250" s="5" t="s">
        <v>814</v>
      </c>
      <c r="D250" s="5" t="s">
        <v>815</v>
      </c>
      <c r="E250" s="5" t="s">
        <v>804</v>
      </c>
      <c r="F250" s="5" t="s">
        <v>1173</v>
      </c>
      <c r="G250" s="5" t="s">
        <v>1137</v>
      </c>
    </row>
    <row r="251" customFormat="false" ht="15" hidden="false" customHeight="false" outlineLevel="0" collapsed="false">
      <c r="A251" s="5" t="s">
        <v>1505</v>
      </c>
      <c r="B251" s="5" t="s">
        <v>1147</v>
      </c>
      <c r="C251" s="5" t="s">
        <v>814</v>
      </c>
      <c r="D251" s="5" t="s">
        <v>815</v>
      </c>
      <c r="E251" s="5" t="s">
        <v>1506</v>
      </c>
      <c r="F251" s="5"/>
      <c r="G251" s="5" t="s">
        <v>1137</v>
      </c>
    </row>
    <row r="252" customFormat="false" ht="15" hidden="false" customHeight="false" outlineLevel="0" collapsed="false">
      <c r="A252" s="5" t="s">
        <v>1507</v>
      </c>
      <c r="B252" s="5" t="s">
        <v>1135</v>
      </c>
      <c r="C252" s="5" t="s">
        <v>821</v>
      </c>
      <c r="D252" s="5" t="s">
        <v>822</v>
      </c>
      <c r="E252" s="5" t="s">
        <v>832</v>
      </c>
      <c r="F252" s="5" t="s">
        <v>1508</v>
      </c>
      <c r="G252" s="5" t="s">
        <v>1137</v>
      </c>
    </row>
    <row r="253" customFormat="false" ht="15" hidden="false" customHeight="false" outlineLevel="0" collapsed="false">
      <c r="A253" s="5" t="s">
        <v>1509</v>
      </c>
      <c r="B253" s="5" t="s">
        <v>1135</v>
      </c>
      <c r="C253" s="5" t="s">
        <v>821</v>
      </c>
      <c r="D253" s="5" t="s">
        <v>822</v>
      </c>
      <c r="E253" s="5" t="s">
        <v>731</v>
      </c>
      <c r="F253" s="5" t="s">
        <v>1414</v>
      </c>
      <c r="G253" s="5" t="s">
        <v>1137</v>
      </c>
    </row>
    <row r="254" customFormat="false" ht="15" hidden="false" customHeight="false" outlineLevel="0" collapsed="false">
      <c r="A254" s="5" t="s">
        <v>1510</v>
      </c>
      <c r="B254" s="5" t="s">
        <v>1135</v>
      </c>
      <c r="C254" s="5" t="s">
        <v>821</v>
      </c>
      <c r="D254" s="5" t="s">
        <v>822</v>
      </c>
      <c r="E254" s="5" t="s">
        <v>998</v>
      </c>
      <c r="F254" s="5" t="s">
        <v>1511</v>
      </c>
      <c r="G254" s="5" t="s">
        <v>1137</v>
      </c>
    </row>
    <row r="255" customFormat="false" ht="15" hidden="false" customHeight="false" outlineLevel="0" collapsed="false">
      <c r="A255" s="5" t="s">
        <v>1512</v>
      </c>
      <c r="B255" s="5" t="s">
        <v>1135</v>
      </c>
      <c r="C255" s="5" t="s">
        <v>821</v>
      </c>
      <c r="D255" s="5" t="s">
        <v>822</v>
      </c>
      <c r="E255" s="5" t="s">
        <v>1005</v>
      </c>
      <c r="F255" s="5" t="s">
        <v>1513</v>
      </c>
      <c r="G255" s="5" t="s">
        <v>1137</v>
      </c>
    </row>
    <row r="256" customFormat="false" ht="15" hidden="false" customHeight="false" outlineLevel="0" collapsed="false">
      <c r="A256" s="5" t="s">
        <v>1514</v>
      </c>
      <c r="B256" s="5" t="s">
        <v>1135</v>
      </c>
      <c r="C256" s="5" t="s">
        <v>821</v>
      </c>
      <c r="D256" s="5" t="s">
        <v>822</v>
      </c>
      <c r="E256" s="5" t="s">
        <v>1026</v>
      </c>
      <c r="F256" s="5" t="s">
        <v>1515</v>
      </c>
      <c r="G256" s="5" t="s">
        <v>1137</v>
      </c>
    </row>
    <row r="257" customFormat="false" ht="15" hidden="false" customHeight="false" outlineLevel="0" collapsed="false">
      <c r="A257" s="5" t="s">
        <v>1516</v>
      </c>
      <c r="B257" s="5" t="s">
        <v>1135</v>
      </c>
      <c r="C257" s="5" t="s">
        <v>821</v>
      </c>
      <c r="D257" s="5" t="s">
        <v>822</v>
      </c>
      <c r="E257" s="5" t="s">
        <v>1040</v>
      </c>
      <c r="F257" s="5" t="s">
        <v>1136</v>
      </c>
      <c r="G257" s="5" t="s">
        <v>1137</v>
      </c>
    </row>
    <row r="258" customFormat="false" ht="15" hidden="false" customHeight="false" outlineLevel="0" collapsed="false">
      <c r="A258" s="5" t="s">
        <v>1517</v>
      </c>
      <c r="B258" s="5" t="s">
        <v>1135</v>
      </c>
      <c r="C258" s="5" t="s">
        <v>821</v>
      </c>
      <c r="D258" s="5" t="s">
        <v>822</v>
      </c>
      <c r="E258" s="5" t="s">
        <v>1045</v>
      </c>
      <c r="F258" s="5" t="s">
        <v>1139</v>
      </c>
      <c r="G258" s="5" t="s">
        <v>1137</v>
      </c>
    </row>
    <row r="259" customFormat="false" ht="15" hidden="false" customHeight="false" outlineLevel="0" collapsed="false">
      <c r="A259" s="5" t="s">
        <v>1518</v>
      </c>
      <c r="B259" s="5" t="s">
        <v>1135</v>
      </c>
      <c r="C259" s="5" t="s">
        <v>821</v>
      </c>
      <c r="D259" s="5" t="s">
        <v>822</v>
      </c>
      <c r="E259" s="5" t="s">
        <v>1051</v>
      </c>
      <c r="F259" s="5" t="s">
        <v>1485</v>
      </c>
      <c r="G259" s="5" t="s">
        <v>1137</v>
      </c>
    </row>
    <row r="260" customFormat="false" ht="15" hidden="false" customHeight="false" outlineLevel="0" collapsed="false">
      <c r="A260" s="5" t="s">
        <v>1519</v>
      </c>
      <c r="B260" s="5" t="s">
        <v>1135</v>
      </c>
      <c r="C260" s="5" t="s">
        <v>821</v>
      </c>
      <c r="D260" s="5" t="s">
        <v>822</v>
      </c>
      <c r="E260" s="5" t="s">
        <v>1063</v>
      </c>
      <c r="F260" s="5" t="s">
        <v>1141</v>
      </c>
      <c r="G260" s="5" t="s">
        <v>1137</v>
      </c>
    </row>
    <row r="261" customFormat="false" ht="15" hidden="false" customHeight="false" outlineLevel="0" collapsed="false">
      <c r="A261" s="5" t="s">
        <v>1520</v>
      </c>
      <c r="B261" s="5" t="s">
        <v>1135</v>
      </c>
      <c r="C261" s="5" t="s">
        <v>821</v>
      </c>
      <c r="D261" s="5" t="s">
        <v>822</v>
      </c>
      <c r="E261" s="5" t="s">
        <v>1069</v>
      </c>
      <c r="F261" s="5" t="s">
        <v>1521</v>
      </c>
      <c r="G261" s="5" t="s">
        <v>1137</v>
      </c>
    </row>
    <row r="262" customFormat="false" ht="15" hidden="false" customHeight="false" outlineLevel="0" collapsed="false">
      <c r="A262" s="5" t="s">
        <v>1522</v>
      </c>
      <c r="B262" s="5" t="s">
        <v>1135</v>
      </c>
      <c r="C262" s="5" t="s">
        <v>821</v>
      </c>
      <c r="D262" s="5" t="s">
        <v>822</v>
      </c>
      <c r="E262" s="5" t="s">
        <v>1084</v>
      </c>
      <c r="F262" s="5" t="s">
        <v>1145</v>
      </c>
      <c r="G262" s="5" t="s">
        <v>1137</v>
      </c>
    </row>
    <row r="263" customFormat="false" ht="15" hidden="false" customHeight="false" outlineLevel="0" collapsed="false">
      <c r="A263" s="5" t="s">
        <v>1523</v>
      </c>
      <c r="B263" s="5" t="s">
        <v>1135</v>
      </c>
      <c r="C263" s="5" t="s">
        <v>821</v>
      </c>
      <c r="D263" s="5" t="s">
        <v>822</v>
      </c>
      <c r="E263" s="5" t="s">
        <v>804</v>
      </c>
      <c r="F263" s="5" t="s">
        <v>1173</v>
      </c>
      <c r="G263" s="5" t="s">
        <v>1137</v>
      </c>
    </row>
    <row r="264" customFormat="false" ht="15" hidden="false" customHeight="false" outlineLevel="0" collapsed="false">
      <c r="A264" s="5" t="s">
        <v>1524</v>
      </c>
      <c r="B264" s="5" t="s">
        <v>1166</v>
      </c>
      <c r="C264" s="5" t="s">
        <v>821</v>
      </c>
      <c r="D264" s="5" t="s">
        <v>822</v>
      </c>
      <c r="E264" s="5" t="s">
        <v>1525</v>
      </c>
      <c r="F264" s="5"/>
      <c r="G264" s="5" t="s">
        <v>1137</v>
      </c>
    </row>
    <row r="265" customFormat="false" ht="15" hidden="false" customHeight="false" outlineLevel="0" collapsed="false">
      <c r="A265" s="5" t="s">
        <v>1526</v>
      </c>
      <c r="B265" s="5" t="s">
        <v>1166</v>
      </c>
      <c r="C265" s="5" t="s">
        <v>821</v>
      </c>
      <c r="D265" s="5" t="s">
        <v>822</v>
      </c>
      <c r="E265" s="5" t="s">
        <v>1527</v>
      </c>
      <c r="F265" s="5"/>
      <c r="G265" s="5" t="s">
        <v>1137</v>
      </c>
    </row>
    <row r="266" customFormat="false" ht="15" hidden="false" customHeight="false" outlineLevel="0" collapsed="false">
      <c r="A266" s="5" t="s">
        <v>1528</v>
      </c>
      <c r="B266" s="5" t="s">
        <v>1166</v>
      </c>
      <c r="C266" s="5" t="s">
        <v>821</v>
      </c>
      <c r="D266" s="5" t="s">
        <v>822</v>
      </c>
      <c r="E266" s="5" t="s">
        <v>1529</v>
      </c>
      <c r="F266" s="5"/>
      <c r="G266" s="5" t="s">
        <v>1137</v>
      </c>
    </row>
    <row r="267" customFormat="false" ht="15" hidden="false" customHeight="false" outlineLevel="0" collapsed="false">
      <c r="A267" s="5" t="s">
        <v>1530</v>
      </c>
      <c r="B267" s="5" t="s">
        <v>1166</v>
      </c>
      <c r="C267" s="5" t="s">
        <v>821</v>
      </c>
      <c r="D267" s="5" t="s">
        <v>822</v>
      </c>
      <c r="E267" s="5" t="s">
        <v>1531</v>
      </c>
      <c r="F267" s="5"/>
      <c r="G267" s="5" t="s">
        <v>1137</v>
      </c>
    </row>
    <row r="268" customFormat="false" ht="15" hidden="false" customHeight="false" outlineLevel="0" collapsed="false">
      <c r="A268" s="5" t="s">
        <v>1532</v>
      </c>
      <c r="B268" s="5" t="s">
        <v>1147</v>
      </c>
      <c r="C268" s="5" t="s">
        <v>821</v>
      </c>
      <c r="D268" s="5" t="s">
        <v>822</v>
      </c>
      <c r="E268" s="5" t="s">
        <v>1533</v>
      </c>
      <c r="F268" s="5"/>
      <c r="G268" s="5" t="s">
        <v>1137</v>
      </c>
    </row>
    <row r="269" customFormat="false" ht="15" hidden="false" customHeight="false" outlineLevel="0" collapsed="false">
      <c r="A269" s="5" t="s">
        <v>1534</v>
      </c>
      <c r="B269" s="5" t="s">
        <v>1147</v>
      </c>
      <c r="C269" s="5" t="s">
        <v>821</v>
      </c>
      <c r="D269" s="5" t="s">
        <v>822</v>
      </c>
      <c r="E269" s="5" t="s">
        <v>1535</v>
      </c>
      <c r="F269" s="5"/>
      <c r="G269" s="5" t="s">
        <v>1137</v>
      </c>
    </row>
    <row r="270" customFormat="false" ht="23.85" hidden="false" customHeight="false" outlineLevel="0" collapsed="false">
      <c r="A270" s="5" t="s">
        <v>1536</v>
      </c>
      <c r="B270" s="5" t="s">
        <v>1147</v>
      </c>
      <c r="C270" s="5" t="s">
        <v>821</v>
      </c>
      <c r="D270" s="5" t="s">
        <v>822</v>
      </c>
      <c r="E270" s="5" t="s">
        <v>1537</v>
      </c>
      <c r="F270" s="5"/>
      <c r="G270" s="5" t="s">
        <v>1137</v>
      </c>
    </row>
    <row r="271" customFormat="false" ht="15" hidden="false" customHeight="false" outlineLevel="0" collapsed="false">
      <c r="A271" s="5" t="s">
        <v>1538</v>
      </c>
      <c r="B271" s="5" t="s">
        <v>1423</v>
      </c>
      <c r="C271" s="5" t="s">
        <v>821</v>
      </c>
      <c r="D271" s="5" t="s">
        <v>822</v>
      </c>
      <c r="E271" s="5" t="s">
        <v>1539</v>
      </c>
      <c r="F271" s="5"/>
      <c r="G271" s="5" t="s">
        <v>1137</v>
      </c>
    </row>
    <row r="272" customFormat="false" ht="15" hidden="false" customHeight="false" outlineLevel="0" collapsed="false">
      <c r="A272" s="5" t="s">
        <v>1540</v>
      </c>
      <c r="B272" s="5" t="s">
        <v>1423</v>
      </c>
      <c r="C272" s="5" t="s">
        <v>821</v>
      </c>
      <c r="D272" s="5" t="s">
        <v>822</v>
      </c>
      <c r="E272" s="5" t="s">
        <v>1421</v>
      </c>
      <c r="F272" s="5"/>
      <c r="G272" s="5" t="s">
        <v>1137</v>
      </c>
    </row>
    <row r="273" customFormat="false" ht="15" hidden="false" customHeight="false" outlineLevel="0" collapsed="false">
      <c r="A273" s="5" t="s">
        <v>1541</v>
      </c>
      <c r="B273" s="5" t="s">
        <v>1135</v>
      </c>
      <c r="C273" s="5" t="s">
        <v>832</v>
      </c>
      <c r="D273" s="5" t="s">
        <v>833</v>
      </c>
      <c r="E273" s="5" t="s">
        <v>806</v>
      </c>
      <c r="F273" s="5" t="s">
        <v>1455</v>
      </c>
      <c r="G273" s="5" t="s">
        <v>1137</v>
      </c>
    </row>
    <row r="274" customFormat="false" ht="15" hidden="false" customHeight="false" outlineLevel="0" collapsed="false">
      <c r="A274" s="5" t="s">
        <v>1542</v>
      </c>
      <c r="B274" s="5" t="s">
        <v>1135</v>
      </c>
      <c r="C274" s="5" t="s">
        <v>832</v>
      </c>
      <c r="D274" s="5" t="s">
        <v>833</v>
      </c>
      <c r="E274" s="5" t="s">
        <v>731</v>
      </c>
      <c r="F274" s="5" t="s">
        <v>1414</v>
      </c>
      <c r="G274" s="5" t="s">
        <v>1137</v>
      </c>
    </row>
    <row r="275" customFormat="false" ht="15" hidden="false" customHeight="false" outlineLevel="0" collapsed="false">
      <c r="A275" s="5" t="s">
        <v>1543</v>
      </c>
      <c r="B275" s="5" t="s">
        <v>1135</v>
      </c>
      <c r="C275" s="5" t="s">
        <v>832</v>
      </c>
      <c r="D275" s="5" t="s">
        <v>833</v>
      </c>
      <c r="E275" s="5" t="s">
        <v>1020</v>
      </c>
      <c r="F275" s="5" t="s">
        <v>1544</v>
      </c>
      <c r="G275" s="5" t="s">
        <v>1137</v>
      </c>
    </row>
    <row r="276" customFormat="false" ht="15" hidden="false" customHeight="false" outlineLevel="0" collapsed="false">
      <c r="A276" s="5" t="s">
        <v>1545</v>
      </c>
      <c r="B276" s="5" t="s">
        <v>1135</v>
      </c>
      <c r="C276" s="5" t="s">
        <v>832</v>
      </c>
      <c r="D276" s="5" t="s">
        <v>833</v>
      </c>
      <c r="E276" s="5" t="s">
        <v>1040</v>
      </c>
      <c r="F276" s="5" t="s">
        <v>1136</v>
      </c>
      <c r="G276" s="5" t="s">
        <v>1137</v>
      </c>
    </row>
    <row r="277" customFormat="false" ht="15" hidden="false" customHeight="false" outlineLevel="0" collapsed="false">
      <c r="A277" s="5" t="s">
        <v>1546</v>
      </c>
      <c r="B277" s="5" t="s">
        <v>1135</v>
      </c>
      <c r="C277" s="5" t="s">
        <v>832</v>
      </c>
      <c r="D277" s="5" t="s">
        <v>833</v>
      </c>
      <c r="E277" s="5" t="s">
        <v>1063</v>
      </c>
      <c r="F277" s="5" t="s">
        <v>1141</v>
      </c>
      <c r="G277" s="5" t="s">
        <v>1137</v>
      </c>
    </row>
    <row r="278" customFormat="false" ht="15" hidden="false" customHeight="false" outlineLevel="0" collapsed="false">
      <c r="A278" s="5" t="s">
        <v>1547</v>
      </c>
      <c r="B278" s="5" t="s">
        <v>1135</v>
      </c>
      <c r="C278" s="5" t="s">
        <v>832</v>
      </c>
      <c r="D278" s="5" t="s">
        <v>833</v>
      </c>
      <c r="E278" s="5" t="s">
        <v>804</v>
      </c>
      <c r="F278" s="5" t="s">
        <v>1173</v>
      </c>
      <c r="G278" s="5" t="s">
        <v>1137</v>
      </c>
    </row>
    <row r="279" customFormat="false" ht="15" hidden="false" customHeight="false" outlineLevel="0" collapsed="false">
      <c r="A279" s="5" t="s">
        <v>1548</v>
      </c>
      <c r="B279" s="5" t="s">
        <v>1166</v>
      </c>
      <c r="C279" s="5" t="s">
        <v>832</v>
      </c>
      <c r="D279" s="5" t="s">
        <v>833</v>
      </c>
      <c r="E279" s="5" t="s">
        <v>1549</v>
      </c>
      <c r="F279" s="5"/>
      <c r="G279" s="5" t="s">
        <v>1137</v>
      </c>
    </row>
    <row r="280" customFormat="false" ht="15" hidden="false" customHeight="false" outlineLevel="0" collapsed="false">
      <c r="A280" s="5" t="s">
        <v>1550</v>
      </c>
      <c r="B280" s="5" t="s">
        <v>1166</v>
      </c>
      <c r="C280" s="5" t="s">
        <v>832</v>
      </c>
      <c r="D280" s="5" t="s">
        <v>833</v>
      </c>
      <c r="E280" s="5" t="s">
        <v>1551</v>
      </c>
      <c r="F280" s="5"/>
      <c r="G280" s="5" t="s">
        <v>1137</v>
      </c>
    </row>
    <row r="281" customFormat="false" ht="15" hidden="false" customHeight="false" outlineLevel="0" collapsed="false">
      <c r="A281" s="5" t="s">
        <v>1552</v>
      </c>
      <c r="B281" s="5" t="s">
        <v>1423</v>
      </c>
      <c r="C281" s="5" t="s">
        <v>832</v>
      </c>
      <c r="D281" s="5" t="s">
        <v>833</v>
      </c>
      <c r="E281" s="5" t="s">
        <v>1553</v>
      </c>
      <c r="F281" s="5"/>
      <c r="G281" s="5" t="s">
        <v>1137</v>
      </c>
    </row>
    <row r="282" customFormat="false" ht="15" hidden="false" customHeight="false" outlineLevel="0" collapsed="false">
      <c r="A282" s="5" t="s">
        <v>1554</v>
      </c>
      <c r="B282" s="5" t="s">
        <v>1135</v>
      </c>
      <c r="C282" s="5" t="s">
        <v>846</v>
      </c>
      <c r="D282" s="5" t="s">
        <v>847</v>
      </c>
      <c r="E282" s="5" t="s">
        <v>543</v>
      </c>
      <c r="F282" s="5" t="s">
        <v>1143</v>
      </c>
      <c r="G282" s="5" t="s">
        <v>1137</v>
      </c>
    </row>
    <row r="283" customFormat="false" ht="15" hidden="false" customHeight="false" outlineLevel="0" collapsed="false">
      <c r="A283" s="5" t="s">
        <v>1555</v>
      </c>
      <c r="B283" s="5" t="s">
        <v>1135</v>
      </c>
      <c r="C283" s="5" t="s">
        <v>846</v>
      </c>
      <c r="D283" s="5" t="s">
        <v>847</v>
      </c>
      <c r="E283" s="5" t="s">
        <v>804</v>
      </c>
      <c r="F283" s="5" t="s">
        <v>1173</v>
      </c>
      <c r="G283" s="5" t="s">
        <v>1137</v>
      </c>
    </row>
    <row r="284" customFormat="false" ht="23.85" hidden="false" customHeight="false" outlineLevel="0" collapsed="false">
      <c r="A284" s="5" t="s">
        <v>1556</v>
      </c>
      <c r="B284" s="5" t="s">
        <v>1135</v>
      </c>
      <c r="C284" s="5" t="s">
        <v>796</v>
      </c>
      <c r="D284" s="5" t="s">
        <v>850</v>
      </c>
      <c r="E284" s="5" t="s">
        <v>790</v>
      </c>
      <c r="F284" s="5" t="s">
        <v>1557</v>
      </c>
      <c r="G284" s="5" t="s">
        <v>1275</v>
      </c>
    </row>
    <row r="285" customFormat="false" ht="15" hidden="false" customHeight="false" outlineLevel="0" collapsed="false">
      <c r="A285" s="5" t="s">
        <v>1558</v>
      </c>
      <c r="B285" s="5" t="s">
        <v>1135</v>
      </c>
      <c r="C285" s="5" t="s">
        <v>250</v>
      </c>
      <c r="D285" s="5" t="s">
        <v>251</v>
      </c>
      <c r="E285" s="5" t="s">
        <v>731</v>
      </c>
      <c r="F285" s="5" t="s">
        <v>1414</v>
      </c>
      <c r="G285" s="5" t="s">
        <v>1137</v>
      </c>
    </row>
    <row r="286" customFormat="false" ht="15" hidden="false" customHeight="false" outlineLevel="0" collapsed="false">
      <c r="A286" s="5" t="s">
        <v>1559</v>
      </c>
      <c r="B286" s="5" t="s">
        <v>1135</v>
      </c>
      <c r="C286" s="5" t="s">
        <v>250</v>
      </c>
      <c r="D286" s="5" t="s">
        <v>251</v>
      </c>
      <c r="E286" s="5" t="s">
        <v>1040</v>
      </c>
      <c r="F286" s="5" t="s">
        <v>1136</v>
      </c>
      <c r="G286" s="5" t="s">
        <v>1137</v>
      </c>
    </row>
    <row r="287" customFormat="false" ht="15" hidden="false" customHeight="false" outlineLevel="0" collapsed="false">
      <c r="A287" s="5" t="s">
        <v>1560</v>
      </c>
      <c r="B287" s="5" t="s">
        <v>1135</v>
      </c>
      <c r="C287" s="5" t="s">
        <v>250</v>
      </c>
      <c r="D287" s="5" t="s">
        <v>251</v>
      </c>
      <c r="E287" s="5" t="s">
        <v>1061</v>
      </c>
      <c r="F287" s="5" t="s">
        <v>1561</v>
      </c>
      <c r="G287" s="5" t="s">
        <v>1137</v>
      </c>
    </row>
    <row r="288" customFormat="false" ht="15" hidden="false" customHeight="false" outlineLevel="0" collapsed="false">
      <c r="A288" s="5" t="s">
        <v>1562</v>
      </c>
      <c r="B288" s="5" t="s">
        <v>1420</v>
      </c>
      <c r="C288" s="5" t="s">
        <v>250</v>
      </c>
      <c r="D288" s="5" t="s">
        <v>251</v>
      </c>
      <c r="E288" s="5" t="s">
        <v>1553</v>
      </c>
      <c r="F288" s="5"/>
      <c r="G288" s="5" t="s">
        <v>1137</v>
      </c>
    </row>
    <row r="289" customFormat="false" ht="15" hidden="false" customHeight="false" outlineLevel="0" collapsed="false">
      <c r="A289" s="5" t="s">
        <v>1563</v>
      </c>
      <c r="B289" s="5" t="s">
        <v>1423</v>
      </c>
      <c r="C289" s="5" t="s">
        <v>250</v>
      </c>
      <c r="D289" s="5" t="s">
        <v>251</v>
      </c>
      <c r="E289" s="5" t="s">
        <v>1421</v>
      </c>
      <c r="F289" s="5"/>
      <c r="G289" s="5" t="s">
        <v>1137</v>
      </c>
    </row>
    <row r="290" customFormat="false" ht="15" hidden="false" customHeight="false" outlineLevel="0" collapsed="false">
      <c r="A290" s="5" t="s">
        <v>1564</v>
      </c>
      <c r="B290" s="5" t="s">
        <v>1431</v>
      </c>
      <c r="C290" s="5" t="s">
        <v>250</v>
      </c>
      <c r="D290" s="5" t="s">
        <v>251</v>
      </c>
      <c r="E290" s="5" t="s">
        <v>1565</v>
      </c>
      <c r="F290" s="5"/>
      <c r="G290" s="5" t="s">
        <v>1137</v>
      </c>
    </row>
    <row r="291" customFormat="false" ht="23.85" hidden="false" customHeight="false" outlineLevel="0" collapsed="false">
      <c r="A291" s="5" t="s">
        <v>1566</v>
      </c>
      <c r="B291" s="5" t="s">
        <v>1135</v>
      </c>
      <c r="C291" s="5" t="s">
        <v>750</v>
      </c>
      <c r="D291" s="5" t="s">
        <v>860</v>
      </c>
      <c r="E291" s="5" t="s">
        <v>143</v>
      </c>
      <c r="F291" s="5" t="s">
        <v>1567</v>
      </c>
      <c r="G291" s="5" t="s">
        <v>1275</v>
      </c>
    </row>
    <row r="292" customFormat="false" ht="23.85" hidden="false" customHeight="false" outlineLevel="0" collapsed="false">
      <c r="A292" s="5" t="s">
        <v>1568</v>
      </c>
      <c r="B292" s="5" t="s">
        <v>1135</v>
      </c>
      <c r="C292" s="5" t="s">
        <v>868</v>
      </c>
      <c r="D292" s="5" t="s">
        <v>870</v>
      </c>
      <c r="E292" s="5" t="s">
        <v>731</v>
      </c>
      <c r="F292" s="5" t="s">
        <v>1414</v>
      </c>
      <c r="G292" s="5" t="s">
        <v>1275</v>
      </c>
    </row>
    <row r="293" customFormat="false" ht="23.85" hidden="false" customHeight="false" outlineLevel="0" collapsed="false">
      <c r="A293" s="5" t="s">
        <v>1569</v>
      </c>
      <c r="B293" s="5" t="s">
        <v>1135</v>
      </c>
      <c r="C293" s="5" t="s">
        <v>868</v>
      </c>
      <c r="D293" s="5" t="s">
        <v>870</v>
      </c>
      <c r="E293" s="5" t="s">
        <v>864</v>
      </c>
      <c r="F293" s="5" t="s">
        <v>1570</v>
      </c>
      <c r="G293" s="5" t="s">
        <v>1275</v>
      </c>
    </row>
    <row r="294" customFormat="false" ht="23.85" hidden="false" customHeight="false" outlineLevel="0" collapsed="false">
      <c r="A294" s="5" t="s">
        <v>1571</v>
      </c>
      <c r="B294" s="5" t="s">
        <v>1135</v>
      </c>
      <c r="C294" s="5" t="s">
        <v>868</v>
      </c>
      <c r="D294" s="5" t="s">
        <v>870</v>
      </c>
      <c r="E294" s="5" t="s">
        <v>804</v>
      </c>
      <c r="F294" s="5" t="s">
        <v>1173</v>
      </c>
      <c r="G294" s="5" t="s">
        <v>1275</v>
      </c>
    </row>
    <row r="295" customFormat="false" ht="23.85" hidden="false" customHeight="false" outlineLevel="0" collapsed="false">
      <c r="A295" s="5" t="s">
        <v>1572</v>
      </c>
      <c r="B295" s="5" t="s">
        <v>1135</v>
      </c>
      <c r="C295" s="5" t="s">
        <v>868</v>
      </c>
      <c r="D295" s="5" t="s">
        <v>870</v>
      </c>
      <c r="E295" s="5" t="s">
        <v>476</v>
      </c>
      <c r="F295" s="5" t="s">
        <v>1175</v>
      </c>
      <c r="G295" s="5" t="s">
        <v>1275</v>
      </c>
    </row>
    <row r="296" customFormat="false" ht="23.85" hidden="false" customHeight="false" outlineLevel="0" collapsed="false">
      <c r="A296" s="5" t="s">
        <v>1573</v>
      </c>
      <c r="B296" s="5" t="s">
        <v>1166</v>
      </c>
      <c r="C296" s="5" t="s">
        <v>868</v>
      </c>
      <c r="D296" s="5" t="s">
        <v>870</v>
      </c>
      <c r="E296" s="5" t="s">
        <v>1574</v>
      </c>
      <c r="F296" s="5"/>
      <c r="G296" s="5" t="s">
        <v>1275</v>
      </c>
    </row>
    <row r="297" customFormat="false" ht="23.85" hidden="false" customHeight="false" outlineLevel="0" collapsed="false">
      <c r="A297" s="5" t="s">
        <v>1575</v>
      </c>
      <c r="B297" s="5" t="s">
        <v>1166</v>
      </c>
      <c r="C297" s="5" t="s">
        <v>868</v>
      </c>
      <c r="D297" s="5" t="s">
        <v>870</v>
      </c>
      <c r="E297" s="5" t="s">
        <v>1576</v>
      </c>
      <c r="F297" s="5"/>
      <c r="G297" s="5" t="s">
        <v>1275</v>
      </c>
    </row>
    <row r="298" customFormat="false" ht="23.85" hidden="false" customHeight="false" outlineLevel="0" collapsed="false">
      <c r="A298" s="5" t="s">
        <v>1577</v>
      </c>
      <c r="B298" s="5" t="s">
        <v>1166</v>
      </c>
      <c r="C298" s="5" t="s">
        <v>868</v>
      </c>
      <c r="D298" s="5" t="s">
        <v>870</v>
      </c>
      <c r="E298" s="5" t="s">
        <v>1578</v>
      </c>
      <c r="F298" s="5"/>
      <c r="G298" s="5" t="s">
        <v>1275</v>
      </c>
    </row>
    <row r="299" customFormat="false" ht="23.85" hidden="false" customHeight="false" outlineLevel="0" collapsed="false">
      <c r="A299" s="5" t="s">
        <v>1579</v>
      </c>
      <c r="B299" s="5" t="s">
        <v>1423</v>
      </c>
      <c r="C299" s="5" t="s">
        <v>868</v>
      </c>
      <c r="D299" s="5" t="s">
        <v>870</v>
      </c>
      <c r="E299" s="5" t="s">
        <v>1553</v>
      </c>
      <c r="F299" s="5"/>
      <c r="G299" s="5" t="s">
        <v>1275</v>
      </c>
    </row>
    <row r="300" customFormat="false" ht="23.85" hidden="false" customHeight="false" outlineLevel="0" collapsed="false">
      <c r="A300" s="5" t="s">
        <v>1580</v>
      </c>
      <c r="B300" s="5" t="s">
        <v>1423</v>
      </c>
      <c r="C300" s="5" t="s">
        <v>868</v>
      </c>
      <c r="D300" s="5" t="s">
        <v>870</v>
      </c>
      <c r="E300" s="5" t="s">
        <v>1421</v>
      </c>
      <c r="F300" s="5"/>
      <c r="G300" s="5" t="s">
        <v>1275</v>
      </c>
    </row>
    <row r="301" customFormat="false" ht="23.85" hidden="false" customHeight="false" outlineLevel="0" collapsed="false">
      <c r="A301" s="5" t="s">
        <v>1581</v>
      </c>
      <c r="B301" s="5" t="s">
        <v>1135</v>
      </c>
      <c r="C301" s="5" t="s">
        <v>879</v>
      </c>
      <c r="D301" s="5" t="s">
        <v>880</v>
      </c>
      <c r="E301" s="5" t="s">
        <v>731</v>
      </c>
      <c r="F301" s="5" t="s">
        <v>1414</v>
      </c>
      <c r="G301" s="5" t="s">
        <v>1275</v>
      </c>
    </row>
    <row r="302" customFormat="false" ht="23.85" hidden="false" customHeight="false" outlineLevel="0" collapsed="false">
      <c r="A302" s="5" t="s">
        <v>1582</v>
      </c>
      <c r="B302" s="5" t="s">
        <v>1135</v>
      </c>
      <c r="C302" s="5" t="s">
        <v>879</v>
      </c>
      <c r="D302" s="5" t="s">
        <v>880</v>
      </c>
      <c r="E302" s="5" t="s">
        <v>982</v>
      </c>
      <c r="F302" s="5" t="s">
        <v>1471</v>
      </c>
      <c r="G302" s="5" t="s">
        <v>1275</v>
      </c>
    </row>
    <row r="303" customFormat="false" ht="23.85" hidden="false" customHeight="false" outlineLevel="0" collapsed="false">
      <c r="A303" s="5" t="s">
        <v>1583</v>
      </c>
      <c r="B303" s="5" t="s">
        <v>1135</v>
      </c>
      <c r="C303" s="5" t="s">
        <v>879</v>
      </c>
      <c r="D303" s="5" t="s">
        <v>880</v>
      </c>
      <c r="E303" s="5" t="s">
        <v>543</v>
      </c>
      <c r="F303" s="5" t="s">
        <v>1143</v>
      </c>
      <c r="G303" s="5" t="s">
        <v>1275</v>
      </c>
    </row>
    <row r="304" customFormat="false" ht="23.85" hidden="false" customHeight="false" outlineLevel="0" collapsed="false">
      <c r="A304" s="5" t="s">
        <v>1584</v>
      </c>
      <c r="B304" s="5" t="s">
        <v>1135</v>
      </c>
      <c r="C304" s="5" t="s">
        <v>879</v>
      </c>
      <c r="D304" s="5" t="s">
        <v>880</v>
      </c>
      <c r="E304" s="5" t="s">
        <v>804</v>
      </c>
      <c r="F304" s="5" t="s">
        <v>1173</v>
      </c>
      <c r="G304" s="5" t="s">
        <v>1275</v>
      </c>
    </row>
    <row r="305" customFormat="false" ht="23.85" hidden="false" customHeight="false" outlineLevel="0" collapsed="false">
      <c r="A305" s="5" t="s">
        <v>1585</v>
      </c>
      <c r="B305" s="5" t="s">
        <v>1135</v>
      </c>
      <c r="C305" s="5" t="s">
        <v>879</v>
      </c>
      <c r="D305" s="5" t="s">
        <v>880</v>
      </c>
      <c r="E305" s="5" t="s">
        <v>476</v>
      </c>
      <c r="F305" s="5" t="s">
        <v>1175</v>
      </c>
      <c r="G305" s="5" t="s">
        <v>1275</v>
      </c>
    </row>
    <row r="306" customFormat="false" ht="23.85" hidden="false" customHeight="false" outlineLevel="0" collapsed="false">
      <c r="A306" s="5" t="s">
        <v>1586</v>
      </c>
      <c r="B306" s="5" t="s">
        <v>1423</v>
      </c>
      <c r="C306" s="5" t="s">
        <v>879</v>
      </c>
      <c r="D306" s="5" t="s">
        <v>880</v>
      </c>
      <c r="E306" s="5" t="s">
        <v>1421</v>
      </c>
      <c r="F306" s="5"/>
      <c r="G306" s="5" t="s">
        <v>1275</v>
      </c>
    </row>
    <row r="307" customFormat="false" ht="23.85" hidden="false" customHeight="false" outlineLevel="0" collapsed="false">
      <c r="A307" s="5" t="s">
        <v>1587</v>
      </c>
      <c r="B307" s="5" t="s">
        <v>1181</v>
      </c>
      <c r="C307" s="5" t="s">
        <v>879</v>
      </c>
      <c r="D307" s="5" t="s">
        <v>880</v>
      </c>
      <c r="E307" s="5" t="s">
        <v>888</v>
      </c>
      <c r="F307" s="5"/>
      <c r="G307" s="5" t="s">
        <v>1275</v>
      </c>
    </row>
    <row r="308" customFormat="false" ht="23.85" hidden="false" customHeight="false" outlineLevel="0" collapsed="false">
      <c r="A308" s="5" t="s">
        <v>1588</v>
      </c>
      <c r="B308" s="5" t="s">
        <v>1135</v>
      </c>
      <c r="C308" s="5" t="s">
        <v>775</v>
      </c>
      <c r="D308" s="5" t="s">
        <v>890</v>
      </c>
      <c r="E308" s="5" t="s">
        <v>770</v>
      </c>
      <c r="F308" s="5" t="s">
        <v>1589</v>
      </c>
      <c r="G308" s="5" t="s">
        <v>1275</v>
      </c>
    </row>
    <row r="309" customFormat="false" ht="23.85" hidden="false" customHeight="false" outlineLevel="0" collapsed="false">
      <c r="A309" s="5" t="s">
        <v>1590</v>
      </c>
      <c r="B309" s="5" t="s">
        <v>1135</v>
      </c>
      <c r="C309" s="5" t="s">
        <v>775</v>
      </c>
      <c r="D309" s="5" t="s">
        <v>890</v>
      </c>
      <c r="E309" s="5" t="s">
        <v>806</v>
      </c>
      <c r="F309" s="5" t="s">
        <v>1455</v>
      </c>
      <c r="G309" s="5" t="s">
        <v>1275</v>
      </c>
    </row>
    <row r="310" customFormat="false" ht="23.85" hidden="false" customHeight="false" outlineLevel="0" collapsed="false">
      <c r="A310" s="5" t="s">
        <v>1591</v>
      </c>
      <c r="B310" s="5" t="s">
        <v>1135</v>
      </c>
      <c r="C310" s="5" t="s">
        <v>775</v>
      </c>
      <c r="D310" s="5" t="s">
        <v>890</v>
      </c>
      <c r="E310" s="5" t="s">
        <v>731</v>
      </c>
      <c r="F310" s="5" t="s">
        <v>1414</v>
      </c>
      <c r="G310" s="5" t="s">
        <v>1275</v>
      </c>
    </row>
    <row r="311" customFormat="false" ht="23.85" hidden="false" customHeight="false" outlineLevel="0" collapsed="false">
      <c r="A311" s="5" t="s">
        <v>1592</v>
      </c>
      <c r="B311" s="5" t="s">
        <v>1135</v>
      </c>
      <c r="C311" s="5" t="s">
        <v>775</v>
      </c>
      <c r="D311" s="5" t="s">
        <v>890</v>
      </c>
      <c r="E311" s="5" t="s">
        <v>899</v>
      </c>
      <c r="F311" s="5" t="s">
        <v>1593</v>
      </c>
      <c r="G311" s="5" t="s">
        <v>1275</v>
      </c>
    </row>
    <row r="312" customFormat="false" ht="23.85" hidden="false" customHeight="false" outlineLevel="0" collapsed="false">
      <c r="A312" s="5" t="s">
        <v>1594</v>
      </c>
      <c r="B312" s="5" t="s">
        <v>1135</v>
      </c>
      <c r="C312" s="5" t="s">
        <v>775</v>
      </c>
      <c r="D312" s="5" t="s">
        <v>890</v>
      </c>
      <c r="E312" s="5" t="s">
        <v>905</v>
      </c>
      <c r="F312" s="5" t="s">
        <v>1595</v>
      </c>
      <c r="G312" s="5" t="s">
        <v>1275</v>
      </c>
    </row>
    <row r="313" customFormat="false" ht="23.85" hidden="false" customHeight="false" outlineLevel="0" collapsed="false">
      <c r="A313" s="5" t="s">
        <v>1596</v>
      </c>
      <c r="B313" s="5" t="s">
        <v>1135</v>
      </c>
      <c r="C313" s="5" t="s">
        <v>775</v>
      </c>
      <c r="D313" s="5" t="s">
        <v>890</v>
      </c>
      <c r="E313" s="5" t="s">
        <v>931</v>
      </c>
      <c r="F313" s="5" t="s">
        <v>1597</v>
      </c>
      <c r="G313" s="5" t="s">
        <v>1275</v>
      </c>
    </row>
    <row r="314" customFormat="false" ht="23.85" hidden="false" customHeight="false" outlineLevel="0" collapsed="false">
      <c r="A314" s="5" t="s">
        <v>1598</v>
      </c>
      <c r="B314" s="5" t="s">
        <v>1135</v>
      </c>
      <c r="C314" s="5" t="s">
        <v>775</v>
      </c>
      <c r="D314" s="5" t="s">
        <v>890</v>
      </c>
      <c r="E314" s="5" t="s">
        <v>938</v>
      </c>
      <c r="F314" s="5" t="s">
        <v>1599</v>
      </c>
      <c r="G314" s="5" t="s">
        <v>1275</v>
      </c>
    </row>
    <row r="315" customFormat="false" ht="23.85" hidden="false" customHeight="false" outlineLevel="0" collapsed="false">
      <c r="A315" s="5" t="s">
        <v>1600</v>
      </c>
      <c r="B315" s="5" t="s">
        <v>1135</v>
      </c>
      <c r="C315" s="5" t="s">
        <v>775</v>
      </c>
      <c r="D315" s="5" t="s">
        <v>890</v>
      </c>
      <c r="E315" s="5" t="s">
        <v>942</v>
      </c>
      <c r="F315" s="5" t="s">
        <v>1601</v>
      </c>
      <c r="G315" s="5" t="s">
        <v>1275</v>
      </c>
    </row>
    <row r="316" customFormat="false" ht="23.85" hidden="false" customHeight="false" outlineLevel="0" collapsed="false">
      <c r="A316" s="5" t="s">
        <v>1602</v>
      </c>
      <c r="B316" s="5" t="s">
        <v>1135</v>
      </c>
      <c r="C316" s="5" t="s">
        <v>775</v>
      </c>
      <c r="D316" s="5" t="s">
        <v>890</v>
      </c>
      <c r="E316" s="5" t="s">
        <v>819</v>
      </c>
      <c r="F316" s="5" t="s">
        <v>1336</v>
      </c>
      <c r="G316" s="5" t="s">
        <v>1275</v>
      </c>
    </row>
    <row r="317" customFormat="false" ht="23.85" hidden="false" customHeight="false" outlineLevel="0" collapsed="false">
      <c r="A317" s="5" t="s">
        <v>1603</v>
      </c>
      <c r="B317" s="5" t="s">
        <v>1135</v>
      </c>
      <c r="C317" s="5" t="s">
        <v>775</v>
      </c>
      <c r="D317" s="5" t="s">
        <v>890</v>
      </c>
      <c r="E317" s="5" t="s">
        <v>982</v>
      </c>
      <c r="F317" s="5" t="s">
        <v>1471</v>
      </c>
      <c r="G317" s="5" t="s">
        <v>1275</v>
      </c>
    </row>
    <row r="318" customFormat="false" ht="23.85" hidden="false" customHeight="false" outlineLevel="0" collapsed="false">
      <c r="A318" s="5" t="s">
        <v>1604</v>
      </c>
      <c r="B318" s="5" t="s">
        <v>1135</v>
      </c>
      <c r="C318" s="5" t="s">
        <v>775</v>
      </c>
      <c r="D318" s="5" t="s">
        <v>890</v>
      </c>
      <c r="E318" s="5" t="s">
        <v>1045</v>
      </c>
      <c r="F318" s="5" t="s">
        <v>1139</v>
      </c>
      <c r="G318" s="5" t="s">
        <v>1275</v>
      </c>
    </row>
    <row r="319" customFormat="false" ht="23.85" hidden="false" customHeight="false" outlineLevel="0" collapsed="false">
      <c r="A319" s="5" t="s">
        <v>1605</v>
      </c>
      <c r="B319" s="5" t="s">
        <v>1135</v>
      </c>
      <c r="C319" s="5" t="s">
        <v>775</v>
      </c>
      <c r="D319" s="5" t="s">
        <v>890</v>
      </c>
      <c r="E319" s="5" t="s">
        <v>543</v>
      </c>
      <c r="F319" s="5" t="s">
        <v>1143</v>
      </c>
      <c r="G319" s="5" t="s">
        <v>1275</v>
      </c>
    </row>
    <row r="320" customFormat="false" ht="23.85" hidden="false" customHeight="false" outlineLevel="0" collapsed="false">
      <c r="A320" s="5" t="s">
        <v>1606</v>
      </c>
      <c r="B320" s="5" t="s">
        <v>1135</v>
      </c>
      <c r="C320" s="5" t="s">
        <v>775</v>
      </c>
      <c r="D320" s="5" t="s">
        <v>890</v>
      </c>
      <c r="E320" s="5" t="s">
        <v>1084</v>
      </c>
      <c r="F320" s="5" t="s">
        <v>1145</v>
      </c>
      <c r="G320" s="5" t="s">
        <v>1275</v>
      </c>
    </row>
    <row r="321" customFormat="false" ht="23.85" hidden="false" customHeight="false" outlineLevel="0" collapsed="false">
      <c r="A321" s="5" t="s">
        <v>1607</v>
      </c>
      <c r="B321" s="5" t="s">
        <v>1135</v>
      </c>
      <c r="C321" s="5" t="s">
        <v>775</v>
      </c>
      <c r="D321" s="5" t="s">
        <v>890</v>
      </c>
      <c r="E321" s="5" t="s">
        <v>804</v>
      </c>
      <c r="F321" s="5" t="s">
        <v>1173</v>
      </c>
      <c r="G321" s="5" t="s">
        <v>1275</v>
      </c>
    </row>
    <row r="322" customFormat="false" ht="23.85" hidden="false" customHeight="false" outlineLevel="0" collapsed="false">
      <c r="A322" s="5" t="s">
        <v>1608</v>
      </c>
      <c r="B322" s="5" t="s">
        <v>1166</v>
      </c>
      <c r="C322" s="5" t="s">
        <v>775</v>
      </c>
      <c r="D322" s="5" t="s">
        <v>890</v>
      </c>
      <c r="E322" s="5" t="s">
        <v>1416</v>
      </c>
      <c r="F322" s="5"/>
      <c r="G322" s="5" t="s">
        <v>1275</v>
      </c>
    </row>
    <row r="323" customFormat="false" ht="23.85" hidden="false" customHeight="false" outlineLevel="0" collapsed="false">
      <c r="A323" s="5" t="s">
        <v>1609</v>
      </c>
      <c r="B323" s="5" t="s">
        <v>1166</v>
      </c>
      <c r="C323" s="5" t="s">
        <v>775</v>
      </c>
      <c r="D323" s="5" t="s">
        <v>890</v>
      </c>
      <c r="E323" s="5" t="s">
        <v>1418</v>
      </c>
      <c r="F323" s="5"/>
      <c r="G323" s="5" t="s">
        <v>1275</v>
      </c>
    </row>
    <row r="324" customFormat="false" ht="23.85" hidden="false" customHeight="false" outlineLevel="0" collapsed="false">
      <c r="A324" s="5" t="s">
        <v>1610</v>
      </c>
      <c r="B324" s="5" t="s">
        <v>1166</v>
      </c>
      <c r="C324" s="5" t="s">
        <v>775</v>
      </c>
      <c r="D324" s="5" t="s">
        <v>890</v>
      </c>
      <c r="E324" s="5" t="s">
        <v>1611</v>
      </c>
      <c r="F324" s="5"/>
      <c r="G324" s="5" t="s">
        <v>1275</v>
      </c>
    </row>
    <row r="325" customFormat="false" ht="23.85" hidden="false" customHeight="false" outlineLevel="0" collapsed="false">
      <c r="A325" s="5" t="s">
        <v>1612</v>
      </c>
      <c r="B325" s="5" t="s">
        <v>1166</v>
      </c>
      <c r="C325" s="5" t="s">
        <v>775</v>
      </c>
      <c r="D325" s="5" t="s">
        <v>890</v>
      </c>
      <c r="E325" s="5" t="s">
        <v>1613</v>
      </c>
      <c r="F325" s="5"/>
      <c r="G325" s="5" t="s">
        <v>1275</v>
      </c>
    </row>
    <row r="326" customFormat="false" ht="23.85" hidden="false" customHeight="false" outlineLevel="0" collapsed="false">
      <c r="A326" s="5" t="s">
        <v>1614</v>
      </c>
      <c r="B326" s="5" t="s">
        <v>1147</v>
      </c>
      <c r="C326" s="5" t="s">
        <v>775</v>
      </c>
      <c r="D326" s="5" t="s">
        <v>890</v>
      </c>
      <c r="E326" s="5" t="s">
        <v>1615</v>
      </c>
      <c r="F326" s="5"/>
      <c r="G326" s="5" t="s">
        <v>1275</v>
      </c>
    </row>
    <row r="327" customFormat="false" ht="23.85" hidden="false" customHeight="false" outlineLevel="0" collapsed="false">
      <c r="A327" s="5" t="s">
        <v>1616</v>
      </c>
      <c r="B327" s="5" t="s">
        <v>1147</v>
      </c>
      <c r="C327" s="5" t="s">
        <v>775</v>
      </c>
      <c r="D327" s="5" t="s">
        <v>890</v>
      </c>
      <c r="E327" s="5" t="s">
        <v>1617</v>
      </c>
      <c r="F327" s="5"/>
      <c r="G327" s="5" t="s">
        <v>1275</v>
      </c>
    </row>
    <row r="328" customFormat="false" ht="23.85" hidden="false" customHeight="false" outlineLevel="0" collapsed="false">
      <c r="A328" s="5" t="s">
        <v>1618</v>
      </c>
      <c r="B328" s="5" t="s">
        <v>1420</v>
      </c>
      <c r="C328" s="5" t="s">
        <v>775</v>
      </c>
      <c r="D328" s="5" t="s">
        <v>890</v>
      </c>
      <c r="E328" s="5" t="s">
        <v>1467</v>
      </c>
      <c r="F328" s="5"/>
      <c r="G328" s="5" t="s">
        <v>1275</v>
      </c>
    </row>
    <row r="329" customFormat="false" ht="23.85" hidden="false" customHeight="false" outlineLevel="0" collapsed="false">
      <c r="A329" s="5" t="s">
        <v>1619</v>
      </c>
      <c r="B329" s="5" t="s">
        <v>1420</v>
      </c>
      <c r="C329" s="5" t="s">
        <v>775</v>
      </c>
      <c r="D329" s="5" t="s">
        <v>890</v>
      </c>
      <c r="E329" s="5" t="s">
        <v>1421</v>
      </c>
      <c r="F329" s="5"/>
      <c r="G329" s="5" t="s">
        <v>1275</v>
      </c>
    </row>
    <row r="330" customFormat="false" ht="23.85" hidden="false" customHeight="false" outlineLevel="0" collapsed="false">
      <c r="A330" s="5" t="s">
        <v>1620</v>
      </c>
      <c r="B330" s="5" t="s">
        <v>1181</v>
      </c>
      <c r="C330" s="5" t="s">
        <v>775</v>
      </c>
      <c r="D330" s="5" t="s">
        <v>890</v>
      </c>
      <c r="E330" s="5" t="s">
        <v>637</v>
      </c>
      <c r="F330" s="5"/>
      <c r="G330" s="5" t="s">
        <v>1275</v>
      </c>
    </row>
    <row r="331" customFormat="false" ht="23.85" hidden="false" customHeight="false" outlineLevel="0" collapsed="false">
      <c r="A331" s="5" t="s">
        <v>1621</v>
      </c>
      <c r="B331" s="5" t="s">
        <v>1135</v>
      </c>
      <c r="C331" s="5" t="s">
        <v>899</v>
      </c>
      <c r="D331" s="5" t="s">
        <v>900</v>
      </c>
      <c r="E331" s="5" t="s">
        <v>1045</v>
      </c>
      <c r="F331" s="5" t="s">
        <v>1139</v>
      </c>
      <c r="G331" s="5" t="s">
        <v>1275</v>
      </c>
    </row>
    <row r="332" customFormat="false" ht="23.85" hidden="false" customHeight="false" outlineLevel="0" collapsed="false">
      <c r="A332" s="5" t="s">
        <v>1622</v>
      </c>
      <c r="B332" s="5" t="s">
        <v>1135</v>
      </c>
      <c r="C332" s="5" t="s">
        <v>899</v>
      </c>
      <c r="D332" s="5" t="s">
        <v>900</v>
      </c>
      <c r="E332" s="5" t="s">
        <v>543</v>
      </c>
      <c r="F332" s="5" t="s">
        <v>1143</v>
      </c>
      <c r="G332" s="5" t="s">
        <v>1275</v>
      </c>
    </row>
    <row r="333" customFormat="false" ht="23.85" hidden="false" customHeight="false" outlineLevel="0" collapsed="false">
      <c r="A333" s="5" t="s">
        <v>1623</v>
      </c>
      <c r="B333" s="5" t="s">
        <v>1135</v>
      </c>
      <c r="C333" s="5" t="s">
        <v>899</v>
      </c>
      <c r="D333" s="5" t="s">
        <v>900</v>
      </c>
      <c r="E333" s="5" t="s">
        <v>1080</v>
      </c>
      <c r="F333" s="5" t="s">
        <v>1252</v>
      </c>
      <c r="G333" s="5" t="s">
        <v>1275</v>
      </c>
    </row>
    <row r="334" customFormat="false" ht="23.85" hidden="false" customHeight="false" outlineLevel="0" collapsed="false">
      <c r="A334" s="5" t="s">
        <v>1624</v>
      </c>
      <c r="B334" s="5" t="s">
        <v>1135</v>
      </c>
      <c r="C334" s="5" t="s">
        <v>899</v>
      </c>
      <c r="D334" s="5" t="s">
        <v>900</v>
      </c>
      <c r="E334" s="5" t="s">
        <v>1084</v>
      </c>
      <c r="F334" s="5" t="s">
        <v>1145</v>
      </c>
      <c r="G334" s="5" t="s">
        <v>1275</v>
      </c>
    </row>
    <row r="335" customFormat="false" ht="23.85" hidden="false" customHeight="false" outlineLevel="0" collapsed="false">
      <c r="A335" s="5" t="s">
        <v>1625</v>
      </c>
      <c r="B335" s="5" t="s">
        <v>1135</v>
      </c>
      <c r="C335" s="5" t="s">
        <v>899</v>
      </c>
      <c r="D335" s="5" t="s">
        <v>900</v>
      </c>
      <c r="E335" s="5" t="s">
        <v>804</v>
      </c>
      <c r="F335" s="5" t="s">
        <v>1173</v>
      </c>
      <c r="G335" s="5" t="s">
        <v>1275</v>
      </c>
    </row>
    <row r="336" customFormat="false" ht="23.85" hidden="false" customHeight="false" outlineLevel="0" collapsed="false">
      <c r="A336" s="5" t="s">
        <v>1626</v>
      </c>
      <c r="B336" s="5" t="s">
        <v>1135</v>
      </c>
      <c r="C336" s="5" t="s">
        <v>899</v>
      </c>
      <c r="D336" s="5" t="s">
        <v>900</v>
      </c>
      <c r="E336" s="5" t="s">
        <v>476</v>
      </c>
      <c r="F336" s="5" t="s">
        <v>1175</v>
      </c>
      <c r="G336" s="5" t="s">
        <v>1275</v>
      </c>
    </row>
    <row r="337" customFormat="false" ht="23.85" hidden="false" customHeight="false" outlineLevel="0" collapsed="false">
      <c r="A337" s="5" t="s">
        <v>1627</v>
      </c>
      <c r="B337" s="5" t="s">
        <v>1147</v>
      </c>
      <c r="C337" s="5" t="s">
        <v>899</v>
      </c>
      <c r="D337" s="5" t="s">
        <v>900</v>
      </c>
      <c r="E337" s="5" t="s">
        <v>1628</v>
      </c>
      <c r="F337" s="5"/>
      <c r="G337" s="5" t="s">
        <v>1275</v>
      </c>
    </row>
    <row r="338" customFormat="false" ht="23.85" hidden="false" customHeight="false" outlineLevel="0" collapsed="false">
      <c r="A338" s="5" t="s">
        <v>1629</v>
      </c>
      <c r="B338" s="5" t="s">
        <v>1181</v>
      </c>
      <c r="C338" s="5" t="s">
        <v>899</v>
      </c>
      <c r="D338" s="5" t="s">
        <v>900</v>
      </c>
      <c r="E338" s="5" t="s">
        <v>1182</v>
      </c>
      <c r="F338" s="5"/>
      <c r="G338" s="5" t="s">
        <v>1275</v>
      </c>
    </row>
    <row r="339" customFormat="false" ht="23.85" hidden="false" customHeight="false" outlineLevel="0" collapsed="false">
      <c r="A339" s="5" t="s">
        <v>1630</v>
      </c>
      <c r="B339" s="5" t="s">
        <v>1181</v>
      </c>
      <c r="C339" s="5" t="s">
        <v>899</v>
      </c>
      <c r="D339" s="5" t="s">
        <v>900</v>
      </c>
      <c r="E339" s="5" t="s">
        <v>1184</v>
      </c>
      <c r="F339" s="5"/>
      <c r="G339" s="5" t="s">
        <v>1275</v>
      </c>
    </row>
    <row r="340" customFormat="false" ht="23.85" hidden="false" customHeight="false" outlineLevel="0" collapsed="false">
      <c r="A340" s="5" t="s">
        <v>1631</v>
      </c>
      <c r="B340" s="5" t="s">
        <v>1135</v>
      </c>
      <c r="C340" s="5" t="s">
        <v>905</v>
      </c>
      <c r="D340" s="5" t="s">
        <v>906</v>
      </c>
      <c r="E340" s="5" t="s">
        <v>1045</v>
      </c>
      <c r="F340" s="5" t="s">
        <v>1139</v>
      </c>
      <c r="G340" s="5" t="s">
        <v>1275</v>
      </c>
    </row>
    <row r="341" customFormat="false" ht="23.85" hidden="false" customHeight="false" outlineLevel="0" collapsed="false">
      <c r="A341" s="5" t="s">
        <v>1632</v>
      </c>
      <c r="B341" s="5" t="s">
        <v>1135</v>
      </c>
      <c r="C341" s="5" t="s">
        <v>905</v>
      </c>
      <c r="D341" s="5" t="s">
        <v>906</v>
      </c>
      <c r="E341" s="5" t="s">
        <v>1084</v>
      </c>
      <c r="F341" s="5" t="s">
        <v>1145</v>
      </c>
      <c r="G341" s="5" t="s">
        <v>1275</v>
      </c>
    </row>
    <row r="342" customFormat="false" ht="23.85" hidden="false" customHeight="false" outlineLevel="0" collapsed="false">
      <c r="A342" s="5" t="s">
        <v>1633</v>
      </c>
      <c r="B342" s="5" t="s">
        <v>1135</v>
      </c>
      <c r="C342" s="5" t="s">
        <v>905</v>
      </c>
      <c r="D342" s="5" t="s">
        <v>906</v>
      </c>
      <c r="E342" s="5" t="s">
        <v>1112</v>
      </c>
      <c r="F342" s="5" t="s">
        <v>1634</v>
      </c>
      <c r="G342" s="5" t="s">
        <v>1275</v>
      </c>
    </row>
    <row r="343" customFormat="false" ht="23.85" hidden="false" customHeight="false" outlineLevel="0" collapsed="false">
      <c r="A343" s="5" t="s">
        <v>1635</v>
      </c>
      <c r="B343" s="5" t="s">
        <v>1491</v>
      </c>
      <c r="C343" s="5" t="s">
        <v>905</v>
      </c>
      <c r="D343" s="5" t="s">
        <v>906</v>
      </c>
      <c r="E343" s="5" t="s">
        <v>1636</v>
      </c>
      <c r="F343" s="5"/>
      <c r="G343" s="5" t="s">
        <v>1275</v>
      </c>
    </row>
    <row r="344" customFormat="false" ht="23.85" hidden="false" customHeight="false" outlineLevel="0" collapsed="false">
      <c r="A344" s="5" t="s">
        <v>1637</v>
      </c>
      <c r="B344" s="5" t="s">
        <v>1491</v>
      </c>
      <c r="C344" s="5" t="s">
        <v>905</v>
      </c>
      <c r="D344" s="5" t="s">
        <v>906</v>
      </c>
      <c r="E344" s="5" t="s">
        <v>1218</v>
      </c>
      <c r="F344" s="5"/>
      <c r="G344" s="5" t="s">
        <v>1275</v>
      </c>
    </row>
    <row r="345" customFormat="false" ht="23.85" hidden="false" customHeight="false" outlineLevel="0" collapsed="false">
      <c r="A345" s="5" t="s">
        <v>1638</v>
      </c>
      <c r="B345" s="5" t="s">
        <v>1135</v>
      </c>
      <c r="C345" s="5" t="s">
        <v>911</v>
      </c>
      <c r="D345" s="5" t="s">
        <v>912</v>
      </c>
      <c r="E345" s="5" t="s">
        <v>543</v>
      </c>
      <c r="F345" s="5" t="s">
        <v>1143</v>
      </c>
      <c r="G345" s="5" t="s">
        <v>1275</v>
      </c>
    </row>
    <row r="346" customFormat="false" ht="23.85" hidden="false" customHeight="false" outlineLevel="0" collapsed="false">
      <c r="A346" s="5" t="s">
        <v>1639</v>
      </c>
      <c r="B346" s="5" t="s">
        <v>1135</v>
      </c>
      <c r="C346" s="5" t="s">
        <v>916</v>
      </c>
      <c r="D346" s="5" t="s">
        <v>917</v>
      </c>
      <c r="E346" s="5" t="s">
        <v>731</v>
      </c>
      <c r="F346" s="5" t="s">
        <v>1414</v>
      </c>
      <c r="G346" s="5" t="s">
        <v>1275</v>
      </c>
    </row>
    <row r="347" customFormat="false" ht="23.85" hidden="false" customHeight="false" outlineLevel="0" collapsed="false">
      <c r="A347" s="5" t="s">
        <v>1640</v>
      </c>
      <c r="B347" s="5" t="s">
        <v>1135</v>
      </c>
      <c r="C347" s="5" t="s">
        <v>916</v>
      </c>
      <c r="D347" s="5" t="s">
        <v>917</v>
      </c>
      <c r="E347" s="5" t="s">
        <v>982</v>
      </c>
      <c r="F347" s="5" t="s">
        <v>1471</v>
      </c>
      <c r="G347" s="5" t="s">
        <v>1275</v>
      </c>
    </row>
    <row r="348" customFormat="false" ht="23.85" hidden="false" customHeight="false" outlineLevel="0" collapsed="false">
      <c r="A348" s="5" t="s">
        <v>1641</v>
      </c>
      <c r="B348" s="5" t="s">
        <v>1135</v>
      </c>
      <c r="C348" s="5" t="s">
        <v>916</v>
      </c>
      <c r="D348" s="5" t="s">
        <v>917</v>
      </c>
      <c r="E348" s="5" t="s">
        <v>543</v>
      </c>
      <c r="F348" s="5" t="s">
        <v>1143</v>
      </c>
      <c r="G348" s="5" t="s">
        <v>1275</v>
      </c>
    </row>
    <row r="349" customFormat="false" ht="23.85" hidden="false" customHeight="false" outlineLevel="0" collapsed="false">
      <c r="A349" s="5" t="s">
        <v>1642</v>
      </c>
      <c r="B349" s="5" t="s">
        <v>1135</v>
      </c>
      <c r="C349" s="5" t="s">
        <v>916</v>
      </c>
      <c r="D349" s="5" t="s">
        <v>917</v>
      </c>
      <c r="E349" s="5" t="s">
        <v>804</v>
      </c>
      <c r="F349" s="5" t="s">
        <v>1173</v>
      </c>
      <c r="G349" s="5" t="s">
        <v>1275</v>
      </c>
    </row>
    <row r="350" customFormat="false" ht="23.85" hidden="false" customHeight="false" outlineLevel="0" collapsed="false">
      <c r="A350" s="5" t="s">
        <v>1643</v>
      </c>
      <c r="B350" s="5" t="s">
        <v>1166</v>
      </c>
      <c r="C350" s="5" t="s">
        <v>916</v>
      </c>
      <c r="D350" s="5" t="s">
        <v>917</v>
      </c>
      <c r="E350" s="5" t="s">
        <v>1644</v>
      </c>
      <c r="F350" s="5"/>
      <c r="G350" s="5" t="s">
        <v>1275</v>
      </c>
    </row>
    <row r="351" customFormat="false" ht="23.85" hidden="false" customHeight="false" outlineLevel="0" collapsed="false">
      <c r="A351" s="5" t="s">
        <v>1645</v>
      </c>
      <c r="B351" s="5" t="s">
        <v>1166</v>
      </c>
      <c r="C351" s="5" t="s">
        <v>916</v>
      </c>
      <c r="D351" s="5" t="s">
        <v>917</v>
      </c>
      <c r="E351" s="5" t="s">
        <v>1646</v>
      </c>
      <c r="F351" s="5"/>
      <c r="G351" s="5" t="s">
        <v>1275</v>
      </c>
    </row>
    <row r="352" customFormat="false" ht="23.85" hidden="false" customHeight="false" outlineLevel="0" collapsed="false">
      <c r="A352" s="5" t="s">
        <v>1647</v>
      </c>
      <c r="B352" s="5" t="s">
        <v>1166</v>
      </c>
      <c r="C352" s="5" t="s">
        <v>916</v>
      </c>
      <c r="D352" s="5" t="s">
        <v>917</v>
      </c>
      <c r="E352" s="5" t="s">
        <v>1648</v>
      </c>
      <c r="F352" s="5"/>
      <c r="G352" s="5" t="s">
        <v>1275</v>
      </c>
    </row>
    <row r="353" customFormat="false" ht="23.85" hidden="false" customHeight="false" outlineLevel="0" collapsed="false">
      <c r="A353" s="5" t="s">
        <v>1649</v>
      </c>
      <c r="B353" s="5" t="s">
        <v>1166</v>
      </c>
      <c r="C353" s="5" t="s">
        <v>916</v>
      </c>
      <c r="D353" s="5" t="s">
        <v>917</v>
      </c>
      <c r="E353" s="5" t="s">
        <v>1650</v>
      </c>
      <c r="F353" s="5"/>
      <c r="G353" s="5" t="s">
        <v>1275</v>
      </c>
    </row>
    <row r="354" customFormat="false" ht="23.85" hidden="false" customHeight="false" outlineLevel="0" collapsed="false">
      <c r="A354" s="5" t="s">
        <v>1651</v>
      </c>
      <c r="B354" s="5" t="s">
        <v>1166</v>
      </c>
      <c r="C354" s="5" t="s">
        <v>916</v>
      </c>
      <c r="D354" s="5" t="s">
        <v>917</v>
      </c>
      <c r="E354" s="5" t="s">
        <v>1652</v>
      </c>
      <c r="F354" s="5"/>
      <c r="G354" s="5" t="s">
        <v>1275</v>
      </c>
    </row>
    <row r="355" customFormat="false" ht="23.85" hidden="false" customHeight="false" outlineLevel="0" collapsed="false">
      <c r="A355" s="5" t="s">
        <v>1653</v>
      </c>
      <c r="B355" s="5" t="s">
        <v>1166</v>
      </c>
      <c r="C355" s="5" t="s">
        <v>916</v>
      </c>
      <c r="D355" s="5" t="s">
        <v>917</v>
      </c>
      <c r="E355" s="5" t="s">
        <v>1654</v>
      </c>
      <c r="F355" s="5"/>
      <c r="G355" s="5" t="s">
        <v>1275</v>
      </c>
    </row>
    <row r="356" customFormat="false" ht="23.85" hidden="false" customHeight="false" outlineLevel="0" collapsed="false">
      <c r="A356" s="5" t="s">
        <v>1655</v>
      </c>
      <c r="B356" s="5" t="s">
        <v>1423</v>
      </c>
      <c r="C356" s="5" t="s">
        <v>916</v>
      </c>
      <c r="D356" s="5" t="s">
        <v>917</v>
      </c>
      <c r="E356" s="5" t="s">
        <v>1421</v>
      </c>
      <c r="F356" s="5"/>
      <c r="G356" s="5" t="s">
        <v>1275</v>
      </c>
    </row>
    <row r="357" customFormat="false" ht="15" hidden="false" customHeight="false" outlineLevel="0" collapsed="false">
      <c r="A357" s="5" t="s">
        <v>1656</v>
      </c>
      <c r="B357" s="5" t="s">
        <v>1135</v>
      </c>
      <c r="C357" s="5" t="s">
        <v>924</v>
      </c>
      <c r="D357" s="5" t="s">
        <v>925</v>
      </c>
      <c r="E357" s="5" t="s">
        <v>982</v>
      </c>
      <c r="F357" s="5" t="s">
        <v>1471</v>
      </c>
      <c r="G357" s="5" t="s">
        <v>1137</v>
      </c>
    </row>
    <row r="358" customFormat="false" ht="15" hidden="false" customHeight="false" outlineLevel="0" collapsed="false">
      <c r="A358" s="5" t="s">
        <v>1657</v>
      </c>
      <c r="B358" s="5" t="s">
        <v>1135</v>
      </c>
      <c r="C358" s="5" t="s">
        <v>924</v>
      </c>
      <c r="D358" s="5" t="s">
        <v>925</v>
      </c>
      <c r="E358" s="5" t="s">
        <v>543</v>
      </c>
      <c r="F358" s="5" t="s">
        <v>1143</v>
      </c>
      <c r="G358" s="5" t="s">
        <v>1137</v>
      </c>
    </row>
    <row r="359" customFormat="false" ht="15" hidden="false" customHeight="false" outlineLevel="0" collapsed="false">
      <c r="A359" s="5" t="s">
        <v>1658</v>
      </c>
      <c r="B359" s="5" t="s">
        <v>1135</v>
      </c>
      <c r="C359" s="5" t="s">
        <v>924</v>
      </c>
      <c r="D359" s="5" t="s">
        <v>925</v>
      </c>
      <c r="E359" s="5" t="s">
        <v>476</v>
      </c>
      <c r="F359" s="5" t="s">
        <v>1175</v>
      </c>
      <c r="G359" s="5" t="s">
        <v>1137</v>
      </c>
    </row>
    <row r="360" customFormat="false" ht="15" hidden="false" customHeight="false" outlineLevel="0" collapsed="false">
      <c r="A360" s="5" t="s">
        <v>1659</v>
      </c>
      <c r="B360" s="5" t="s">
        <v>1181</v>
      </c>
      <c r="C360" s="5" t="s">
        <v>924</v>
      </c>
      <c r="D360" s="5" t="s">
        <v>925</v>
      </c>
      <c r="E360" s="5" t="s">
        <v>930</v>
      </c>
      <c r="F360" s="5"/>
      <c r="G360" s="5" t="s">
        <v>1137</v>
      </c>
    </row>
    <row r="361" customFormat="false" ht="23.85" hidden="false" customHeight="false" outlineLevel="0" collapsed="false">
      <c r="A361" s="5" t="s">
        <v>1660</v>
      </c>
      <c r="B361" s="5" t="s">
        <v>1135</v>
      </c>
      <c r="C361" s="5" t="s">
        <v>931</v>
      </c>
      <c r="D361" s="5" t="s">
        <v>932</v>
      </c>
      <c r="E361" s="5" t="s">
        <v>1045</v>
      </c>
      <c r="F361" s="5" t="s">
        <v>1139</v>
      </c>
      <c r="G361" s="5" t="s">
        <v>1275</v>
      </c>
    </row>
    <row r="362" customFormat="false" ht="23.85" hidden="false" customHeight="false" outlineLevel="0" collapsed="false">
      <c r="A362" s="5" t="s">
        <v>1661</v>
      </c>
      <c r="B362" s="5" t="s">
        <v>1135</v>
      </c>
      <c r="C362" s="5" t="s">
        <v>931</v>
      </c>
      <c r="D362" s="5" t="s">
        <v>932</v>
      </c>
      <c r="E362" s="5" t="s">
        <v>543</v>
      </c>
      <c r="F362" s="5" t="s">
        <v>1143</v>
      </c>
      <c r="G362" s="5" t="s">
        <v>1275</v>
      </c>
    </row>
    <row r="363" customFormat="false" ht="23.85" hidden="false" customHeight="false" outlineLevel="0" collapsed="false">
      <c r="A363" s="5" t="s">
        <v>1662</v>
      </c>
      <c r="B363" s="5" t="s">
        <v>1135</v>
      </c>
      <c r="C363" s="5" t="s">
        <v>931</v>
      </c>
      <c r="D363" s="5" t="s">
        <v>932</v>
      </c>
      <c r="E363" s="5" t="s">
        <v>1084</v>
      </c>
      <c r="F363" s="5" t="s">
        <v>1145</v>
      </c>
      <c r="G363" s="5" t="s">
        <v>1275</v>
      </c>
    </row>
    <row r="364" customFormat="false" ht="23.85" hidden="false" customHeight="false" outlineLevel="0" collapsed="false">
      <c r="A364" s="5" t="s">
        <v>1663</v>
      </c>
      <c r="B364" s="5" t="s">
        <v>1135</v>
      </c>
      <c r="C364" s="5" t="s">
        <v>931</v>
      </c>
      <c r="D364" s="5" t="s">
        <v>932</v>
      </c>
      <c r="E364" s="5" t="s">
        <v>804</v>
      </c>
      <c r="F364" s="5" t="s">
        <v>1173</v>
      </c>
      <c r="G364" s="5" t="s">
        <v>1275</v>
      </c>
    </row>
    <row r="365" customFormat="false" ht="23.85" hidden="false" customHeight="false" outlineLevel="0" collapsed="false">
      <c r="A365" s="5" t="s">
        <v>1664</v>
      </c>
      <c r="B365" s="5" t="s">
        <v>1135</v>
      </c>
      <c r="C365" s="5" t="s">
        <v>931</v>
      </c>
      <c r="D365" s="5" t="s">
        <v>932</v>
      </c>
      <c r="E365" s="5" t="s">
        <v>476</v>
      </c>
      <c r="F365" s="5" t="s">
        <v>1175</v>
      </c>
      <c r="G365" s="5" t="s">
        <v>1275</v>
      </c>
    </row>
    <row r="366" customFormat="false" ht="23.85" hidden="false" customHeight="false" outlineLevel="0" collapsed="false">
      <c r="A366" s="5" t="s">
        <v>1665</v>
      </c>
      <c r="B366" s="5" t="s">
        <v>1166</v>
      </c>
      <c r="C366" s="5" t="s">
        <v>931</v>
      </c>
      <c r="D366" s="5" t="s">
        <v>932</v>
      </c>
      <c r="E366" s="5" t="s">
        <v>1666</v>
      </c>
      <c r="F366" s="5"/>
      <c r="G366" s="5" t="s">
        <v>1275</v>
      </c>
    </row>
    <row r="367" customFormat="false" ht="23.85" hidden="false" customHeight="false" outlineLevel="0" collapsed="false">
      <c r="A367" s="5" t="s">
        <v>1667</v>
      </c>
      <c r="B367" s="5" t="s">
        <v>1147</v>
      </c>
      <c r="C367" s="5" t="s">
        <v>931</v>
      </c>
      <c r="D367" s="5" t="s">
        <v>932</v>
      </c>
      <c r="E367" s="5" t="s">
        <v>1668</v>
      </c>
      <c r="F367" s="5"/>
      <c r="G367" s="5" t="s">
        <v>1275</v>
      </c>
    </row>
    <row r="368" customFormat="false" ht="23.85" hidden="false" customHeight="false" outlineLevel="0" collapsed="false">
      <c r="A368" s="5" t="s">
        <v>1669</v>
      </c>
      <c r="B368" s="5" t="s">
        <v>1181</v>
      </c>
      <c r="C368" s="5" t="s">
        <v>931</v>
      </c>
      <c r="D368" s="5" t="s">
        <v>932</v>
      </c>
      <c r="E368" s="5" t="s">
        <v>937</v>
      </c>
      <c r="F368" s="5"/>
      <c r="G368" s="5" t="s">
        <v>1275</v>
      </c>
    </row>
    <row r="369" customFormat="false" ht="23.85" hidden="false" customHeight="false" outlineLevel="0" collapsed="false">
      <c r="A369" s="5" t="s">
        <v>1670</v>
      </c>
      <c r="B369" s="5" t="s">
        <v>1135</v>
      </c>
      <c r="C369" s="5" t="s">
        <v>938</v>
      </c>
      <c r="D369" s="5" t="s">
        <v>939</v>
      </c>
      <c r="E369" s="5" t="s">
        <v>804</v>
      </c>
      <c r="F369" s="5" t="s">
        <v>1173</v>
      </c>
      <c r="G369" s="5" t="s">
        <v>1275</v>
      </c>
    </row>
    <row r="370" customFormat="false" ht="23.85" hidden="false" customHeight="false" outlineLevel="0" collapsed="false">
      <c r="A370" s="5" t="s">
        <v>1671</v>
      </c>
      <c r="B370" s="5" t="s">
        <v>1166</v>
      </c>
      <c r="C370" s="5" t="s">
        <v>942</v>
      </c>
      <c r="D370" s="5" t="s">
        <v>943</v>
      </c>
      <c r="E370" s="5" t="s">
        <v>1267</v>
      </c>
      <c r="F370" s="5"/>
      <c r="G370" s="5" t="s">
        <v>1275</v>
      </c>
    </row>
    <row r="371" customFormat="false" ht="23.85" hidden="false" customHeight="false" outlineLevel="0" collapsed="false">
      <c r="A371" s="5" t="s">
        <v>1672</v>
      </c>
      <c r="B371" s="5" t="s">
        <v>1147</v>
      </c>
      <c r="C371" s="5" t="s">
        <v>942</v>
      </c>
      <c r="D371" s="5" t="s">
        <v>943</v>
      </c>
      <c r="E371" s="5" t="s">
        <v>1673</v>
      </c>
      <c r="F371" s="5"/>
      <c r="G371" s="5" t="s">
        <v>1275</v>
      </c>
    </row>
    <row r="372" customFormat="false" ht="23.85" hidden="false" customHeight="false" outlineLevel="0" collapsed="false">
      <c r="A372" s="5" t="s">
        <v>1674</v>
      </c>
      <c r="B372" s="5" t="s">
        <v>1135</v>
      </c>
      <c r="C372" s="5" t="s">
        <v>948</v>
      </c>
      <c r="D372" s="5" t="s">
        <v>949</v>
      </c>
      <c r="E372" s="5" t="s">
        <v>731</v>
      </c>
      <c r="F372" s="5" t="s">
        <v>1414</v>
      </c>
      <c r="G372" s="5" t="s">
        <v>1275</v>
      </c>
    </row>
    <row r="373" customFormat="false" ht="23.85" hidden="false" customHeight="false" outlineLevel="0" collapsed="false">
      <c r="A373" s="5" t="s">
        <v>1675</v>
      </c>
      <c r="B373" s="5" t="s">
        <v>1135</v>
      </c>
      <c r="C373" s="5" t="s">
        <v>948</v>
      </c>
      <c r="D373" s="5" t="s">
        <v>949</v>
      </c>
      <c r="E373" s="5" t="s">
        <v>924</v>
      </c>
      <c r="F373" s="5" t="s">
        <v>1458</v>
      </c>
      <c r="G373" s="5" t="s">
        <v>1275</v>
      </c>
    </row>
    <row r="374" customFormat="false" ht="23.85" hidden="false" customHeight="false" outlineLevel="0" collapsed="false">
      <c r="A374" s="5" t="s">
        <v>1676</v>
      </c>
      <c r="B374" s="5" t="s">
        <v>1135</v>
      </c>
      <c r="C374" s="5" t="s">
        <v>948</v>
      </c>
      <c r="D374" s="5" t="s">
        <v>949</v>
      </c>
      <c r="E374" s="5" t="s">
        <v>938</v>
      </c>
      <c r="F374" s="5" t="s">
        <v>1599</v>
      </c>
      <c r="G374" s="5" t="s">
        <v>1275</v>
      </c>
    </row>
    <row r="375" customFormat="false" ht="23.85" hidden="false" customHeight="false" outlineLevel="0" collapsed="false">
      <c r="A375" s="5" t="s">
        <v>1677</v>
      </c>
      <c r="B375" s="5" t="s">
        <v>1135</v>
      </c>
      <c r="C375" s="5" t="s">
        <v>948</v>
      </c>
      <c r="D375" s="5" t="s">
        <v>949</v>
      </c>
      <c r="E375" s="5" t="s">
        <v>819</v>
      </c>
      <c r="F375" s="5" t="s">
        <v>1336</v>
      </c>
      <c r="G375" s="5" t="s">
        <v>1275</v>
      </c>
    </row>
    <row r="376" customFormat="false" ht="23.85" hidden="false" customHeight="false" outlineLevel="0" collapsed="false">
      <c r="A376" s="5" t="s">
        <v>1678</v>
      </c>
      <c r="B376" s="5" t="s">
        <v>1135</v>
      </c>
      <c r="C376" s="5" t="s">
        <v>948</v>
      </c>
      <c r="D376" s="5" t="s">
        <v>949</v>
      </c>
      <c r="E376" s="5" t="s">
        <v>982</v>
      </c>
      <c r="F376" s="5" t="s">
        <v>1471</v>
      </c>
      <c r="G376" s="5" t="s">
        <v>1275</v>
      </c>
    </row>
    <row r="377" customFormat="false" ht="23.85" hidden="false" customHeight="false" outlineLevel="0" collapsed="false">
      <c r="A377" s="5" t="s">
        <v>1679</v>
      </c>
      <c r="B377" s="5" t="s">
        <v>1135</v>
      </c>
      <c r="C377" s="5" t="s">
        <v>948</v>
      </c>
      <c r="D377" s="5" t="s">
        <v>949</v>
      </c>
      <c r="E377" s="5" t="s">
        <v>543</v>
      </c>
      <c r="F377" s="5" t="s">
        <v>1143</v>
      </c>
      <c r="G377" s="5" t="s">
        <v>1275</v>
      </c>
    </row>
    <row r="378" customFormat="false" ht="23.85" hidden="false" customHeight="false" outlineLevel="0" collapsed="false">
      <c r="A378" s="5" t="s">
        <v>1680</v>
      </c>
      <c r="B378" s="5" t="s">
        <v>1135</v>
      </c>
      <c r="C378" s="5" t="s">
        <v>948</v>
      </c>
      <c r="D378" s="5" t="s">
        <v>949</v>
      </c>
      <c r="E378" s="5" t="s">
        <v>804</v>
      </c>
      <c r="F378" s="5" t="s">
        <v>1173</v>
      </c>
      <c r="G378" s="5" t="s">
        <v>1275</v>
      </c>
    </row>
    <row r="379" customFormat="false" ht="23.85" hidden="false" customHeight="false" outlineLevel="0" collapsed="false">
      <c r="A379" s="5" t="s">
        <v>1681</v>
      </c>
      <c r="B379" s="5" t="s">
        <v>1135</v>
      </c>
      <c r="C379" s="5" t="s">
        <v>948</v>
      </c>
      <c r="D379" s="5" t="s">
        <v>949</v>
      </c>
      <c r="E379" s="5" t="s">
        <v>476</v>
      </c>
      <c r="F379" s="5" t="s">
        <v>1175</v>
      </c>
      <c r="G379" s="5" t="s">
        <v>1275</v>
      </c>
    </row>
    <row r="380" customFormat="false" ht="23.85" hidden="false" customHeight="false" outlineLevel="0" collapsed="false">
      <c r="A380" s="5" t="s">
        <v>1682</v>
      </c>
      <c r="B380" s="5" t="s">
        <v>1166</v>
      </c>
      <c r="C380" s="5" t="s">
        <v>948</v>
      </c>
      <c r="D380" s="5" t="s">
        <v>949</v>
      </c>
      <c r="E380" s="5" t="s">
        <v>1652</v>
      </c>
      <c r="F380" s="5"/>
      <c r="G380" s="5" t="s">
        <v>1275</v>
      </c>
    </row>
    <row r="381" customFormat="false" ht="23.85" hidden="false" customHeight="false" outlineLevel="0" collapsed="false">
      <c r="A381" s="5" t="s">
        <v>1683</v>
      </c>
      <c r="B381" s="5" t="s">
        <v>1166</v>
      </c>
      <c r="C381" s="5" t="s">
        <v>948</v>
      </c>
      <c r="D381" s="5" t="s">
        <v>949</v>
      </c>
      <c r="E381" s="5" t="s">
        <v>1684</v>
      </c>
      <c r="F381" s="5"/>
      <c r="G381" s="5" t="s">
        <v>1275</v>
      </c>
    </row>
    <row r="382" customFormat="false" ht="23.85" hidden="false" customHeight="false" outlineLevel="0" collapsed="false">
      <c r="A382" s="5" t="s">
        <v>1685</v>
      </c>
      <c r="B382" s="5" t="s">
        <v>1166</v>
      </c>
      <c r="C382" s="5" t="s">
        <v>948</v>
      </c>
      <c r="D382" s="5" t="s">
        <v>949</v>
      </c>
      <c r="E382" s="5" t="s">
        <v>1654</v>
      </c>
      <c r="F382" s="5"/>
      <c r="G382" s="5" t="s">
        <v>1275</v>
      </c>
    </row>
    <row r="383" customFormat="false" ht="23.85" hidden="false" customHeight="false" outlineLevel="0" collapsed="false">
      <c r="A383" s="5" t="s">
        <v>1686</v>
      </c>
      <c r="B383" s="5" t="s">
        <v>1423</v>
      </c>
      <c r="C383" s="5" t="s">
        <v>948</v>
      </c>
      <c r="D383" s="5" t="s">
        <v>949</v>
      </c>
      <c r="E383" s="5" t="s">
        <v>1475</v>
      </c>
      <c r="F383" s="5"/>
      <c r="G383" s="5" t="s">
        <v>1275</v>
      </c>
    </row>
    <row r="384" customFormat="false" ht="23.85" hidden="false" customHeight="false" outlineLevel="0" collapsed="false">
      <c r="A384" s="5" t="s">
        <v>1687</v>
      </c>
      <c r="B384" s="5" t="s">
        <v>1423</v>
      </c>
      <c r="C384" s="5" t="s">
        <v>948</v>
      </c>
      <c r="D384" s="5" t="s">
        <v>949</v>
      </c>
      <c r="E384" s="5" t="s">
        <v>1467</v>
      </c>
      <c r="F384" s="5"/>
      <c r="G384" s="5" t="s">
        <v>1275</v>
      </c>
    </row>
    <row r="385" customFormat="false" ht="23.85" hidden="false" customHeight="false" outlineLevel="0" collapsed="false">
      <c r="A385" s="5" t="s">
        <v>1688</v>
      </c>
      <c r="B385" s="5" t="s">
        <v>1181</v>
      </c>
      <c r="C385" s="5" t="s">
        <v>948</v>
      </c>
      <c r="D385" s="5" t="s">
        <v>949</v>
      </c>
      <c r="E385" s="5" t="s">
        <v>957</v>
      </c>
      <c r="F385" s="5"/>
      <c r="G385" s="5" t="s">
        <v>1275</v>
      </c>
    </row>
    <row r="386" customFormat="false" ht="23.85" hidden="false" customHeight="false" outlineLevel="0" collapsed="false">
      <c r="A386" s="5" t="s">
        <v>1689</v>
      </c>
      <c r="B386" s="5" t="s">
        <v>1135</v>
      </c>
      <c r="C386" s="5" t="s">
        <v>958</v>
      </c>
      <c r="D386" s="5" t="s">
        <v>959</v>
      </c>
      <c r="E386" s="5" t="s">
        <v>982</v>
      </c>
      <c r="F386" s="5" t="s">
        <v>1471</v>
      </c>
      <c r="G386" s="5" t="s">
        <v>1275</v>
      </c>
    </row>
    <row r="387" customFormat="false" ht="23.85" hidden="false" customHeight="false" outlineLevel="0" collapsed="false">
      <c r="A387" s="5" t="s">
        <v>1690</v>
      </c>
      <c r="B387" s="5" t="s">
        <v>1135</v>
      </c>
      <c r="C387" s="5" t="s">
        <v>958</v>
      </c>
      <c r="D387" s="5" t="s">
        <v>959</v>
      </c>
      <c r="E387" s="5" t="s">
        <v>543</v>
      </c>
      <c r="F387" s="5" t="s">
        <v>1143</v>
      </c>
      <c r="G387" s="5" t="s">
        <v>1275</v>
      </c>
    </row>
    <row r="388" customFormat="false" ht="23.85" hidden="false" customHeight="false" outlineLevel="0" collapsed="false">
      <c r="A388" s="5" t="s">
        <v>1691</v>
      </c>
      <c r="B388" s="5" t="s">
        <v>1135</v>
      </c>
      <c r="C388" s="5" t="s">
        <v>958</v>
      </c>
      <c r="D388" s="5" t="s">
        <v>959</v>
      </c>
      <c r="E388" s="5" t="s">
        <v>804</v>
      </c>
      <c r="F388" s="5" t="s">
        <v>1173</v>
      </c>
      <c r="G388" s="5" t="s">
        <v>1275</v>
      </c>
    </row>
    <row r="389" customFormat="false" ht="15" hidden="false" customHeight="false" outlineLevel="0" collapsed="false">
      <c r="A389" s="5" t="s">
        <v>1692</v>
      </c>
      <c r="B389" s="5" t="s">
        <v>1135</v>
      </c>
      <c r="C389" s="5" t="s">
        <v>964</v>
      </c>
      <c r="D389" s="5" t="s">
        <v>965</v>
      </c>
      <c r="E389" s="5" t="s">
        <v>543</v>
      </c>
      <c r="F389" s="5" t="s">
        <v>1143</v>
      </c>
      <c r="G389" s="5" t="s">
        <v>1137</v>
      </c>
    </row>
    <row r="390" customFormat="false" ht="15" hidden="false" customHeight="false" outlineLevel="0" collapsed="false">
      <c r="A390" s="5" t="s">
        <v>1693</v>
      </c>
      <c r="B390" s="5" t="s">
        <v>1135</v>
      </c>
      <c r="C390" s="5" t="s">
        <v>964</v>
      </c>
      <c r="D390" s="5" t="s">
        <v>965</v>
      </c>
      <c r="E390" s="5" t="s">
        <v>804</v>
      </c>
      <c r="F390" s="5" t="s">
        <v>1173</v>
      </c>
      <c r="G390" s="5" t="s">
        <v>1137</v>
      </c>
    </row>
    <row r="391" customFormat="false" ht="23.85" hidden="false" customHeight="false" outlineLevel="0" collapsed="false">
      <c r="A391" s="5" t="s">
        <v>1694</v>
      </c>
      <c r="B391" s="5" t="s">
        <v>1135</v>
      </c>
      <c r="C391" s="5" t="s">
        <v>969</v>
      </c>
      <c r="D391" s="5" t="s">
        <v>970</v>
      </c>
      <c r="E391" s="5" t="s">
        <v>731</v>
      </c>
      <c r="F391" s="5" t="s">
        <v>1414</v>
      </c>
      <c r="G391" s="5" t="s">
        <v>1275</v>
      </c>
    </row>
    <row r="392" customFormat="false" ht="23.85" hidden="false" customHeight="false" outlineLevel="0" collapsed="false">
      <c r="A392" s="5" t="s">
        <v>1695</v>
      </c>
      <c r="B392" s="5" t="s">
        <v>1135</v>
      </c>
      <c r="C392" s="5" t="s">
        <v>969</v>
      </c>
      <c r="D392" s="5" t="s">
        <v>970</v>
      </c>
      <c r="E392" s="5" t="s">
        <v>982</v>
      </c>
      <c r="F392" s="5" t="s">
        <v>1471</v>
      </c>
      <c r="G392" s="5" t="s">
        <v>1275</v>
      </c>
    </row>
    <row r="393" customFormat="false" ht="23.85" hidden="false" customHeight="false" outlineLevel="0" collapsed="false">
      <c r="A393" s="5" t="s">
        <v>1696</v>
      </c>
      <c r="B393" s="5" t="s">
        <v>1135</v>
      </c>
      <c r="C393" s="5" t="s">
        <v>969</v>
      </c>
      <c r="D393" s="5" t="s">
        <v>970</v>
      </c>
      <c r="E393" s="5" t="s">
        <v>543</v>
      </c>
      <c r="F393" s="5" t="s">
        <v>1143</v>
      </c>
      <c r="G393" s="5" t="s">
        <v>1275</v>
      </c>
    </row>
    <row r="394" customFormat="false" ht="23.85" hidden="false" customHeight="false" outlineLevel="0" collapsed="false">
      <c r="A394" s="5" t="s">
        <v>1697</v>
      </c>
      <c r="B394" s="5" t="s">
        <v>1423</v>
      </c>
      <c r="C394" s="5" t="s">
        <v>969</v>
      </c>
      <c r="D394" s="5" t="s">
        <v>970</v>
      </c>
      <c r="E394" s="5" t="s">
        <v>1421</v>
      </c>
      <c r="F394" s="5"/>
      <c r="G394" s="5" t="s">
        <v>1275</v>
      </c>
    </row>
    <row r="395" customFormat="false" ht="15" hidden="false" customHeight="false" outlineLevel="0" collapsed="false">
      <c r="A395" s="5" t="s">
        <v>1698</v>
      </c>
      <c r="B395" s="5" t="s">
        <v>1135</v>
      </c>
      <c r="C395" s="5" t="s">
        <v>819</v>
      </c>
      <c r="D395" s="5" t="s">
        <v>975</v>
      </c>
      <c r="E395" s="5" t="s">
        <v>814</v>
      </c>
      <c r="F395" s="5" t="s">
        <v>1699</v>
      </c>
      <c r="G395" s="5" t="s">
        <v>1137</v>
      </c>
    </row>
    <row r="396" customFormat="false" ht="15" hidden="false" customHeight="false" outlineLevel="0" collapsed="false">
      <c r="A396" s="5" t="s">
        <v>1700</v>
      </c>
      <c r="B396" s="5" t="s">
        <v>1135</v>
      </c>
      <c r="C396" s="5" t="s">
        <v>819</v>
      </c>
      <c r="D396" s="5" t="s">
        <v>975</v>
      </c>
      <c r="E396" s="5" t="s">
        <v>731</v>
      </c>
      <c r="F396" s="5" t="s">
        <v>1414</v>
      </c>
      <c r="G396" s="5" t="s">
        <v>1137</v>
      </c>
    </row>
    <row r="397" customFormat="false" ht="15" hidden="false" customHeight="false" outlineLevel="0" collapsed="false">
      <c r="A397" s="5" t="s">
        <v>1701</v>
      </c>
      <c r="B397" s="5" t="s">
        <v>1135</v>
      </c>
      <c r="C397" s="5" t="s">
        <v>819</v>
      </c>
      <c r="D397" s="5" t="s">
        <v>975</v>
      </c>
      <c r="E397" s="5" t="s">
        <v>846</v>
      </c>
      <c r="F397" s="5" t="s">
        <v>1702</v>
      </c>
      <c r="G397" s="5" t="s">
        <v>1137</v>
      </c>
    </row>
    <row r="398" customFormat="false" ht="15" hidden="false" customHeight="false" outlineLevel="0" collapsed="false">
      <c r="A398" s="5" t="s">
        <v>1703</v>
      </c>
      <c r="B398" s="5" t="s">
        <v>1135</v>
      </c>
      <c r="C398" s="5" t="s">
        <v>819</v>
      </c>
      <c r="D398" s="5" t="s">
        <v>975</v>
      </c>
      <c r="E398" s="5" t="s">
        <v>924</v>
      </c>
      <c r="F398" s="5" t="s">
        <v>1458</v>
      </c>
      <c r="G398" s="5" t="s">
        <v>1137</v>
      </c>
    </row>
    <row r="399" customFormat="false" ht="15" hidden="false" customHeight="false" outlineLevel="0" collapsed="false">
      <c r="A399" s="5" t="s">
        <v>1704</v>
      </c>
      <c r="B399" s="5" t="s">
        <v>1135</v>
      </c>
      <c r="C399" s="5" t="s">
        <v>819</v>
      </c>
      <c r="D399" s="5" t="s">
        <v>975</v>
      </c>
      <c r="E399" s="5" t="s">
        <v>964</v>
      </c>
      <c r="F399" s="5" t="s">
        <v>1351</v>
      </c>
      <c r="G399" s="5" t="s">
        <v>1137</v>
      </c>
    </row>
    <row r="400" customFormat="false" ht="15" hidden="false" customHeight="false" outlineLevel="0" collapsed="false">
      <c r="A400" s="5" t="s">
        <v>1705</v>
      </c>
      <c r="B400" s="5" t="s">
        <v>1135</v>
      </c>
      <c r="C400" s="5" t="s">
        <v>819</v>
      </c>
      <c r="D400" s="5" t="s">
        <v>975</v>
      </c>
      <c r="E400" s="5" t="s">
        <v>982</v>
      </c>
      <c r="F400" s="5" t="s">
        <v>1471</v>
      </c>
      <c r="G400" s="5" t="s">
        <v>1137</v>
      </c>
    </row>
    <row r="401" customFormat="false" ht="15" hidden="false" customHeight="false" outlineLevel="0" collapsed="false">
      <c r="A401" s="5" t="s">
        <v>1706</v>
      </c>
      <c r="B401" s="5" t="s">
        <v>1135</v>
      </c>
      <c r="C401" s="5" t="s">
        <v>819</v>
      </c>
      <c r="D401" s="5" t="s">
        <v>975</v>
      </c>
      <c r="E401" s="5" t="s">
        <v>988</v>
      </c>
      <c r="F401" s="5" t="s">
        <v>1707</v>
      </c>
      <c r="G401" s="5" t="s">
        <v>1137</v>
      </c>
    </row>
    <row r="402" customFormat="false" ht="15" hidden="false" customHeight="false" outlineLevel="0" collapsed="false">
      <c r="A402" s="5" t="s">
        <v>1708</v>
      </c>
      <c r="B402" s="5" t="s">
        <v>1135</v>
      </c>
      <c r="C402" s="5" t="s">
        <v>819</v>
      </c>
      <c r="D402" s="5" t="s">
        <v>975</v>
      </c>
      <c r="E402" s="5" t="s">
        <v>1051</v>
      </c>
      <c r="F402" s="5" t="s">
        <v>1485</v>
      </c>
      <c r="G402" s="5" t="s">
        <v>1137</v>
      </c>
    </row>
    <row r="403" customFormat="false" ht="15" hidden="false" customHeight="false" outlineLevel="0" collapsed="false">
      <c r="A403" s="5" t="s">
        <v>1709</v>
      </c>
      <c r="B403" s="5" t="s">
        <v>1135</v>
      </c>
      <c r="C403" s="5" t="s">
        <v>819</v>
      </c>
      <c r="D403" s="5" t="s">
        <v>975</v>
      </c>
      <c r="E403" s="5" t="s">
        <v>543</v>
      </c>
      <c r="F403" s="5" t="s">
        <v>1143</v>
      </c>
      <c r="G403" s="5" t="s">
        <v>1137</v>
      </c>
    </row>
    <row r="404" customFormat="false" ht="15" hidden="false" customHeight="false" outlineLevel="0" collapsed="false">
      <c r="A404" s="5" t="s">
        <v>1710</v>
      </c>
      <c r="B404" s="5" t="s">
        <v>1135</v>
      </c>
      <c r="C404" s="5" t="s">
        <v>819</v>
      </c>
      <c r="D404" s="5" t="s">
        <v>975</v>
      </c>
      <c r="E404" s="5" t="s">
        <v>1080</v>
      </c>
      <c r="F404" s="5" t="s">
        <v>1252</v>
      </c>
      <c r="G404" s="5" t="s">
        <v>1137</v>
      </c>
    </row>
    <row r="405" customFormat="false" ht="15" hidden="false" customHeight="false" outlineLevel="0" collapsed="false">
      <c r="A405" s="5" t="s">
        <v>1711</v>
      </c>
      <c r="B405" s="5" t="s">
        <v>1135</v>
      </c>
      <c r="C405" s="5" t="s">
        <v>819</v>
      </c>
      <c r="D405" s="5" t="s">
        <v>975</v>
      </c>
      <c r="E405" s="5" t="s">
        <v>804</v>
      </c>
      <c r="F405" s="5" t="s">
        <v>1173</v>
      </c>
      <c r="G405" s="5" t="s">
        <v>1137</v>
      </c>
    </row>
    <row r="406" customFormat="false" ht="15" hidden="false" customHeight="false" outlineLevel="0" collapsed="false">
      <c r="A406" s="5" t="s">
        <v>1712</v>
      </c>
      <c r="B406" s="5" t="s">
        <v>1135</v>
      </c>
      <c r="C406" s="5" t="s">
        <v>819</v>
      </c>
      <c r="D406" s="5" t="s">
        <v>975</v>
      </c>
      <c r="E406" s="5" t="s">
        <v>476</v>
      </c>
      <c r="F406" s="5" t="s">
        <v>1175</v>
      </c>
      <c r="G406" s="5" t="s">
        <v>1137</v>
      </c>
    </row>
    <row r="407" customFormat="false" ht="15" hidden="false" customHeight="false" outlineLevel="0" collapsed="false">
      <c r="A407" s="5" t="s">
        <v>1713</v>
      </c>
      <c r="B407" s="5" t="s">
        <v>1166</v>
      </c>
      <c r="C407" s="5" t="s">
        <v>819</v>
      </c>
      <c r="D407" s="5" t="s">
        <v>975</v>
      </c>
      <c r="E407" s="5" t="s">
        <v>1714</v>
      </c>
      <c r="F407" s="5"/>
      <c r="G407" s="5" t="s">
        <v>1137</v>
      </c>
    </row>
    <row r="408" customFormat="false" ht="15" hidden="false" customHeight="false" outlineLevel="0" collapsed="false">
      <c r="A408" s="5" t="s">
        <v>1715</v>
      </c>
      <c r="B408" s="5" t="s">
        <v>1423</v>
      </c>
      <c r="C408" s="5" t="s">
        <v>819</v>
      </c>
      <c r="D408" s="5" t="s">
        <v>975</v>
      </c>
      <c r="E408" s="5" t="s">
        <v>1467</v>
      </c>
      <c r="F408" s="5"/>
      <c r="G408" s="5" t="s">
        <v>1137</v>
      </c>
    </row>
    <row r="409" customFormat="false" ht="15" hidden="false" customHeight="false" outlineLevel="0" collapsed="false">
      <c r="A409" s="5" t="s">
        <v>1716</v>
      </c>
      <c r="B409" s="5" t="s">
        <v>1181</v>
      </c>
      <c r="C409" s="5" t="s">
        <v>819</v>
      </c>
      <c r="D409" s="5" t="s">
        <v>975</v>
      </c>
      <c r="E409" s="5" t="s">
        <v>1344</v>
      </c>
      <c r="F409" s="5"/>
      <c r="G409" s="5" t="s">
        <v>1137</v>
      </c>
    </row>
    <row r="410" customFormat="false" ht="15" hidden="false" customHeight="false" outlineLevel="0" collapsed="false">
      <c r="A410" s="5" t="s">
        <v>1717</v>
      </c>
      <c r="B410" s="5" t="s">
        <v>1181</v>
      </c>
      <c r="C410" s="5" t="s">
        <v>819</v>
      </c>
      <c r="D410" s="5" t="s">
        <v>975</v>
      </c>
      <c r="E410" s="5" t="s">
        <v>1348</v>
      </c>
      <c r="F410" s="5"/>
      <c r="G410" s="5" t="s">
        <v>1137</v>
      </c>
    </row>
    <row r="411" customFormat="false" ht="15" hidden="false" customHeight="false" outlineLevel="0" collapsed="false">
      <c r="A411" s="5" t="s">
        <v>1718</v>
      </c>
      <c r="B411" s="5" t="s">
        <v>1181</v>
      </c>
      <c r="C411" s="5" t="s">
        <v>819</v>
      </c>
      <c r="D411" s="5" t="s">
        <v>975</v>
      </c>
      <c r="E411" s="5" t="s">
        <v>888</v>
      </c>
      <c r="F411" s="5"/>
      <c r="G411" s="5" t="s">
        <v>1137</v>
      </c>
    </row>
    <row r="412" customFormat="false" ht="15" hidden="false" customHeight="false" outlineLevel="0" collapsed="false">
      <c r="A412" s="5" t="s">
        <v>1719</v>
      </c>
      <c r="B412" s="5" t="s">
        <v>1181</v>
      </c>
      <c r="C412" s="5" t="s">
        <v>819</v>
      </c>
      <c r="D412" s="5" t="s">
        <v>975</v>
      </c>
      <c r="E412" s="5" t="s">
        <v>1720</v>
      </c>
      <c r="F412" s="5"/>
      <c r="G412" s="5" t="s">
        <v>1137</v>
      </c>
    </row>
    <row r="413" customFormat="false" ht="15" hidden="false" customHeight="false" outlineLevel="0" collapsed="false">
      <c r="A413" s="5" t="s">
        <v>1721</v>
      </c>
      <c r="B413" s="5" t="s">
        <v>1135</v>
      </c>
      <c r="C413" s="5" t="s">
        <v>982</v>
      </c>
      <c r="D413" s="5" t="s">
        <v>983</v>
      </c>
      <c r="E413" s="5" t="s">
        <v>806</v>
      </c>
      <c r="F413" s="5" t="s">
        <v>1455</v>
      </c>
      <c r="G413" s="5" t="s">
        <v>1137</v>
      </c>
    </row>
    <row r="414" customFormat="false" ht="15" hidden="false" customHeight="false" outlineLevel="0" collapsed="false">
      <c r="A414" s="5" t="s">
        <v>1722</v>
      </c>
      <c r="B414" s="5" t="s">
        <v>1135</v>
      </c>
      <c r="C414" s="5" t="s">
        <v>982</v>
      </c>
      <c r="D414" s="5" t="s">
        <v>983</v>
      </c>
      <c r="E414" s="5" t="s">
        <v>804</v>
      </c>
      <c r="F414" s="5" t="s">
        <v>1173</v>
      </c>
      <c r="G414" s="5" t="s">
        <v>1137</v>
      </c>
    </row>
    <row r="415" customFormat="false" ht="15" hidden="false" customHeight="false" outlineLevel="0" collapsed="false">
      <c r="A415" s="5" t="s">
        <v>1723</v>
      </c>
      <c r="B415" s="5" t="s">
        <v>1135</v>
      </c>
      <c r="C415" s="5" t="s">
        <v>988</v>
      </c>
      <c r="D415" s="5" t="s">
        <v>989</v>
      </c>
      <c r="E415" s="5" t="s">
        <v>543</v>
      </c>
      <c r="F415" s="5" t="s">
        <v>1143</v>
      </c>
      <c r="G415" s="5" t="s">
        <v>1137</v>
      </c>
    </row>
    <row r="416" customFormat="false" ht="23.85" hidden="false" customHeight="false" outlineLevel="0" collapsed="false">
      <c r="A416" s="5" t="s">
        <v>1724</v>
      </c>
      <c r="B416" s="5" t="s">
        <v>1135</v>
      </c>
      <c r="C416" s="5" t="s">
        <v>992</v>
      </c>
      <c r="D416" s="5" t="s">
        <v>993</v>
      </c>
      <c r="E416" s="5" t="s">
        <v>982</v>
      </c>
      <c r="F416" s="5" t="s">
        <v>1471</v>
      </c>
      <c r="G416" s="5" t="s">
        <v>1275</v>
      </c>
    </row>
    <row r="417" customFormat="false" ht="23.85" hidden="false" customHeight="false" outlineLevel="0" collapsed="false">
      <c r="A417" s="5" t="s">
        <v>1725</v>
      </c>
      <c r="B417" s="5" t="s">
        <v>1135</v>
      </c>
      <c r="C417" s="5" t="s">
        <v>992</v>
      </c>
      <c r="D417" s="5" t="s">
        <v>993</v>
      </c>
      <c r="E417" s="5" t="s">
        <v>543</v>
      </c>
      <c r="F417" s="5" t="s">
        <v>1143</v>
      </c>
      <c r="G417" s="5" t="s">
        <v>1275</v>
      </c>
    </row>
    <row r="418" customFormat="false" ht="23.85" hidden="false" customHeight="false" outlineLevel="0" collapsed="false">
      <c r="A418" s="5" t="s">
        <v>1726</v>
      </c>
      <c r="B418" s="5" t="s">
        <v>1135</v>
      </c>
      <c r="C418" s="5" t="s">
        <v>992</v>
      </c>
      <c r="D418" s="5" t="s">
        <v>993</v>
      </c>
      <c r="E418" s="5" t="s">
        <v>476</v>
      </c>
      <c r="F418" s="5" t="s">
        <v>1175</v>
      </c>
      <c r="G418" s="5" t="s">
        <v>1275</v>
      </c>
    </row>
    <row r="419" customFormat="false" ht="23.85" hidden="false" customHeight="false" outlineLevel="0" collapsed="false">
      <c r="A419" s="5" t="s">
        <v>1727</v>
      </c>
      <c r="B419" s="5" t="s">
        <v>1181</v>
      </c>
      <c r="C419" s="5" t="s">
        <v>992</v>
      </c>
      <c r="D419" s="5" t="s">
        <v>993</v>
      </c>
      <c r="E419" s="5" t="s">
        <v>997</v>
      </c>
      <c r="F419" s="5"/>
      <c r="G419" s="5" t="s">
        <v>1275</v>
      </c>
    </row>
    <row r="420" customFormat="false" ht="15" hidden="false" customHeight="false" outlineLevel="0" collapsed="false">
      <c r="A420" s="5" t="s">
        <v>1728</v>
      </c>
      <c r="B420" s="5" t="s">
        <v>1135</v>
      </c>
      <c r="C420" s="5" t="s">
        <v>998</v>
      </c>
      <c r="D420" s="5" t="s">
        <v>999</v>
      </c>
      <c r="E420" s="5" t="s">
        <v>1063</v>
      </c>
      <c r="F420" s="5" t="s">
        <v>1141</v>
      </c>
      <c r="G420" s="5" t="s">
        <v>1137</v>
      </c>
    </row>
    <row r="421" customFormat="false" ht="15" hidden="false" customHeight="false" outlineLevel="0" collapsed="false">
      <c r="A421" s="5" t="s">
        <v>1729</v>
      </c>
      <c r="B421" s="5" t="s">
        <v>1135</v>
      </c>
      <c r="C421" s="5" t="s">
        <v>998</v>
      </c>
      <c r="D421" s="5" t="s">
        <v>999</v>
      </c>
      <c r="E421" s="5" t="s">
        <v>804</v>
      </c>
      <c r="F421" s="5" t="s">
        <v>1173</v>
      </c>
      <c r="G421" s="5" t="s">
        <v>1137</v>
      </c>
    </row>
    <row r="422" customFormat="false" ht="15" hidden="false" customHeight="false" outlineLevel="0" collapsed="false">
      <c r="A422" s="5" t="s">
        <v>1730</v>
      </c>
      <c r="B422" s="5" t="s">
        <v>1135</v>
      </c>
      <c r="C422" s="5" t="s">
        <v>1005</v>
      </c>
      <c r="D422" s="5" t="s">
        <v>1006</v>
      </c>
      <c r="E422" s="5" t="s">
        <v>1040</v>
      </c>
      <c r="F422" s="5" t="s">
        <v>1136</v>
      </c>
      <c r="G422" s="5" t="s">
        <v>1137</v>
      </c>
    </row>
    <row r="423" customFormat="false" ht="15" hidden="false" customHeight="false" outlineLevel="0" collapsed="false">
      <c r="A423" s="5" t="s">
        <v>1731</v>
      </c>
      <c r="B423" s="5" t="s">
        <v>1135</v>
      </c>
      <c r="C423" s="5" t="s">
        <v>1005</v>
      </c>
      <c r="D423" s="5" t="s">
        <v>1006</v>
      </c>
      <c r="E423" s="5" t="s">
        <v>1045</v>
      </c>
      <c r="F423" s="5" t="s">
        <v>1139</v>
      </c>
      <c r="G423" s="5" t="s">
        <v>1137</v>
      </c>
    </row>
    <row r="424" customFormat="false" ht="15" hidden="false" customHeight="false" outlineLevel="0" collapsed="false">
      <c r="A424" s="5" t="s">
        <v>1732</v>
      </c>
      <c r="B424" s="5" t="s">
        <v>1135</v>
      </c>
      <c r="C424" s="5" t="s">
        <v>1005</v>
      </c>
      <c r="D424" s="5" t="s">
        <v>1006</v>
      </c>
      <c r="E424" s="5" t="s">
        <v>1063</v>
      </c>
      <c r="F424" s="5" t="s">
        <v>1141</v>
      </c>
      <c r="G424" s="5" t="s">
        <v>1137</v>
      </c>
    </row>
    <row r="425" customFormat="false" ht="15" hidden="false" customHeight="false" outlineLevel="0" collapsed="false">
      <c r="A425" s="5" t="s">
        <v>1733</v>
      </c>
      <c r="B425" s="5" t="s">
        <v>1135</v>
      </c>
      <c r="C425" s="5" t="s">
        <v>1005</v>
      </c>
      <c r="D425" s="5" t="s">
        <v>1006</v>
      </c>
      <c r="E425" s="5" t="s">
        <v>1084</v>
      </c>
      <c r="F425" s="5" t="s">
        <v>1145</v>
      </c>
      <c r="G425" s="5" t="s">
        <v>1137</v>
      </c>
    </row>
    <row r="426" customFormat="false" ht="15" hidden="false" customHeight="false" outlineLevel="0" collapsed="false">
      <c r="A426" s="5" t="s">
        <v>1734</v>
      </c>
      <c r="B426" s="5" t="s">
        <v>1135</v>
      </c>
      <c r="C426" s="5" t="s">
        <v>1005</v>
      </c>
      <c r="D426" s="5" t="s">
        <v>1006</v>
      </c>
      <c r="E426" s="5" t="s">
        <v>804</v>
      </c>
      <c r="F426" s="5" t="s">
        <v>1173</v>
      </c>
      <c r="G426" s="5" t="s">
        <v>1137</v>
      </c>
    </row>
    <row r="427" customFormat="false" ht="15" hidden="false" customHeight="false" outlineLevel="0" collapsed="false">
      <c r="A427" s="5" t="s">
        <v>1735</v>
      </c>
      <c r="B427" s="5" t="s">
        <v>1147</v>
      </c>
      <c r="C427" s="5" t="s">
        <v>1005</v>
      </c>
      <c r="D427" s="5" t="s">
        <v>1006</v>
      </c>
      <c r="E427" s="5" t="s">
        <v>1736</v>
      </c>
      <c r="F427" s="5"/>
      <c r="G427" s="5" t="s">
        <v>1137</v>
      </c>
    </row>
    <row r="428" customFormat="false" ht="15" hidden="false" customHeight="false" outlineLevel="0" collapsed="false">
      <c r="A428" s="5" t="s">
        <v>1737</v>
      </c>
      <c r="B428" s="5" t="s">
        <v>1147</v>
      </c>
      <c r="C428" s="5" t="s">
        <v>1005</v>
      </c>
      <c r="D428" s="5" t="s">
        <v>1006</v>
      </c>
      <c r="E428" s="5" t="s">
        <v>1738</v>
      </c>
      <c r="F428" s="5"/>
      <c r="G428" s="5" t="s">
        <v>1137</v>
      </c>
    </row>
    <row r="429" customFormat="false" ht="15" hidden="false" customHeight="false" outlineLevel="0" collapsed="false">
      <c r="A429" s="5" t="s">
        <v>1739</v>
      </c>
      <c r="B429" s="5" t="s">
        <v>1147</v>
      </c>
      <c r="C429" s="5" t="s">
        <v>1005</v>
      </c>
      <c r="D429" s="5" t="s">
        <v>1006</v>
      </c>
      <c r="E429" s="5" t="s">
        <v>1740</v>
      </c>
      <c r="F429" s="5"/>
      <c r="G429" s="5" t="s">
        <v>1137</v>
      </c>
    </row>
    <row r="430" customFormat="false" ht="15" hidden="false" customHeight="false" outlineLevel="0" collapsed="false">
      <c r="A430" s="5" t="s">
        <v>1741</v>
      </c>
      <c r="B430" s="5" t="s">
        <v>1135</v>
      </c>
      <c r="C430" s="5" t="s">
        <v>1012</v>
      </c>
      <c r="D430" s="5" t="s">
        <v>1013</v>
      </c>
      <c r="E430" s="5" t="s">
        <v>1005</v>
      </c>
      <c r="F430" s="5" t="s">
        <v>1513</v>
      </c>
      <c r="G430" s="5" t="s">
        <v>1137</v>
      </c>
    </row>
    <row r="431" customFormat="false" ht="15" hidden="false" customHeight="false" outlineLevel="0" collapsed="false">
      <c r="A431" s="5" t="s">
        <v>1742</v>
      </c>
      <c r="B431" s="5" t="s">
        <v>1135</v>
      </c>
      <c r="C431" s="5" t="s">
        <v>1012</v>
      </c>
      <c r="D431" s="5" t="s">
        <v>1013</v>
      </c>
      <c r="E431" s="5" t="s">
        <v>1040</v>
      </c>
      <c r="F431" s="5" t="s">
        <v>1136</v>
      </c>
      <c r="G431" s="5" t="s">
        <v>1137</v>
      </c>
    </row>
    <row r="432" customFormat="false" ht="15" hidden="false" customHeight="false" outlineLevel="0" collapsed="false">
      <c r="A432" s="5" t="s">
        <v>1743</v>
      </c>
      <c r="B432" s="5" t="s">
        <v>1135</v>
      </c>
      <c r="C432" s="5" t="s">
        <v>1012</v>
      </c>
      <c r="D432" s="5" t="s">
        <v>1013</v>
      </c>
      <c r="E432" s="5" t="s">
        <v>1063</v>
      </c>
      <c r="F432" s="5" t="s">
        <v>1141</v>
      </c>
      <c r="G432" s="5" t="s">
        <v>1137</v>
      </c>
    </row>
    <row r="433" customFormat="false" ht="15" hidden="false" customHeight="false" outlineLevel="0" collapsed="false">
      <c r="A433" s="5" t="s">
        <v>1744</v>
      </c>
      <c r="B433" s="5" t="s">
        <v>1135</v>
      </c>
      <c r="C433" s="5" t="s">
        <v>1012</v>
      </c>
      <c r="D433" s="5" t="s">
        <v>1013</v>
      </c>
      <c r="E433" s="5" t="s">
        <v>1069</v>
      </c>
      <c r="F433" s="5" t="s">
        <v>1521</v>
      </c>
      <c r="G433" s="5" t="s">
        <v>1137</v>
      </c>
    </row>
    <row r="434" customFormat="false" ht="15" hidden="false" customHeight="false" outlineLevel="0" collapsed="false">
      <c r="A434" s="5" t="s">
        <v>1745</v>
      </c>
      <c r="B434" s="5" t="s">
        <v>1135</v>
      </c>
      <c r="C434" s="5" t="s">
        <v>1012</v>
      </c>
      <c r="D434" s="5" t="s">
        <v>1013</v>
      </c>
      <c r="E434" s="5" t="s">
        <v>804</v>
      </c>
      <c r="F434" s="5" t="s">
        <v>1173</v>
      </c>
      <c r="G434" s="5" t="s">
        <v>1137</v>
      </c>
    </row>
    <row r="435" customFormat="false" ht="15" hidden="false" customHeight="false" outlineLevel="0" collapsed="false">
      <c r="A435" s="5" t="s">
        <v>1746</v>
      </c>
      <c r="B435" s="5" t="s">
        <v>1135</v>
      </c>
      <c r="C435" s="5" t="s">
        <v>1020</v>
      </c>
      <c r="D435" s="5" t="s">
        <v>1021</v>
      </c>
      <c r="E435" s="5" t="s">
        <v>543</v>
      </c>
      <c r="F435" s="5" t="s">
        <v>1143</v>
      </c>
      <c r="G435" s="5" t="s">
        <v>1137</v>
      </c>
    </row>
    <row r="436" customFormat="false" ht="15" hidden="false" customHeight="false" outlineLevel="0" collapsed="false">
      <c r="A436" s="5" t="s">
        <v>1747</v>
      </c>
      <c r="B436" s="5" t="s">
        <v>1135</v>
      </c>
      <c r="C436" s="5" t="s">
        <v>1026</v>
      </c>
      <c r="D436" s="5" t="s">
        <v>1027</v>
      </c>
      <c r="E436" s="5" t="s">
        <v>731</v>
      </c>
      <c r="F436" s="5" t="s">
        <v>1414</v>
      </c>
      <c r="G436" s="5" t="s">
        <v>1137</v>
      </c>
    </row>
    <row r="437" customFormat="false" ht="15" hidden="false" customHeight="false" outlineLevel="0" collapsed="false">
      <c r="A437" s="5" t="s">
        <v>1748</v>
      </c>
      <c r="B437" s="5" t="s">
        <v>1135</v>
      </c>
      <c r="C437" s="5" t="s">
        <v>1026</v>
      </c>
      <c r="D437" s="5" t="s">
        <v>1027</v>
      </c>
      <c r="E437" s="5" t="s">
        <v>1045</v>
      </c>
      <c r="F437" s="5" t="s">
        <v>1139</v>
      </c>
      <c r="G437" s="5" t="s">
        <v>1137</v>
      </c>
    </row>
    <row r="438" customFormat="false" ht="15" hidden="false" customHeight="false" outlineLevel="0" collapsed="false">
      <c r="A438" s="5" t="s">
        <v>1749</v>
      </c>
      <c r="B438" s="5" t="s">
        <v>1135</v>
      </c>
      <c r="C438" s="5" t="s">
        <v>1026</v>
      </c>
      <c r="D438" s="5" t="s">
        <v>1027</v>
      </c>
      <c r="E438" s="5" t="s">
        <v>1084</v>
      </c>
      <c r="F438" s="5" t="s">
        <v>1145</v>
      </c>
      <c r="G438" s="5" t="s">
        <v>1137</v>
      </c>
    </row>
    <row r="439" customFormat="false" ht="15" hidden="false" customHeight="false" outlineLevel="0" collapsed="false">
      <c r="A439" s="5" t="s">
        <v>1750</v>
      </c>
      <c r="B439" s="5" t="s">
        <v>1147</v>
      </c>
      <c r="C439" s="5" t="s">
        <v>1026</v>
      </c>
      <c r="D439" s="5" t="s">
        <v>1027</v>
      </c>
      <c r="E439" s="5" t="s">
        <v>1751</v>
      </c>
      <c r="F439" s="5"/>
      <c r="G439" s="5" t="s">
        <v>1137</v>
      </c>
    </row>
    <row r="440" customFormat="false" ht="15" hidden="false" customHeight="false" outlineLevel="0" collapsed="false">
      <c r="A440" s="5" t="s">
        <v>1752</v>
      </c>
      <c r="B440" s="5" t="s">
        <v>1420</v>
      </c>
      <c r="C440" s="5" t="s">
        <v>1026</v>
      </c>
      <c r="D440" s="5" t="s">
        <v>1027</v>
      </c>
      <c r="E440" s="5" t="s">
        <v>1475</v>
      </c>
      <c r="F440" s="5"/>
      <c r="G440" s="5" t="s">
        <v>1137</v>
      </c>
    </row>
    <row r="441" customFormat="false" ht="15" hidden="false" customHeight="false" outlineLevel="0" collapsed="false">
      <c r="A441" s="5" t="s">
        <v>1753</v>
      </c>
      <c r="B441" s="5" t="s">
        <v>1423</v>
      </c>
      <c r="C441" s="5" t="s">
        <v>1026</v>
      </c>
      <c r="D441" s="5" t="s">
        <v>1027</v>
      </c>
      <c r="E441" s="5" t="s">
        <v>1475</v>
      </c>
      <c r="F441" s="5"/>
      <c r="G441" s="5" t="s">
        <v>1137</v>
      </c>
    </row>
    <row r="442" customFormat="false" ht="15" hidden="false" customHeight="false" outlineLevel="0" collapsed="false">
      <c r="A442" s="5" t="s">
        <v>1754</v>
      </c>
      <c r="B442" s="5" t="s">
        <v>1423</v>
      </c>
      <c r="C442" s="5" t="s">
        <v>1026</v>
      </c>
      <c r="D442" s="5" t="s">
        <v>1027</v>
      </c>
      <c r="E442" s="5" t="s">
        <v>1467</v>
      </c>
      <c r="F442" s="5"/>
      <c r="G442" s="5" t="s">
        <v>1137</v>
      </c>
    </row>
    <row r="443" customFormat="false" ht="15" hidden="false" customHeight="false" outlineLevel="0" collapsed="false">
      <c r="A443" s="5" t="s">
        <v>1755</v>
      </c>
      <c r="B443" s="5" t="s">
        <v>1135</v>
      </c>
      <c r="C443" s="5" t="s">
        <v>1033</v>
      </c>
      <c r="D443" s="5" t="s">
        <v>1034</v>
      </c>
      <c r="E443" s="5" t="s">
        <v>1012</v>
      </c>
      <c r="F443" s="5" t="s">
        <v>1756</v>
      </c>
      <c r="G443" s="5" t="s">
        <v>1137</v>
      </c>
    </row>
    <row r="444" customFormat="false" ht="15" hidden="false" customHeight="false" outlineLevel="0" collapsed="false">
      <c r="A444" s="5" t="s">
        <v>1757</v>
      </c>
      <c r="B444" s="5" t="s">
        <v>1135</v>
      </c>
      <c r="C444" s="5" t="s">
        <v>1033</v>
      </c>
      <c r="D444" s="5" t="s">
        <v>1034</v>
      </c>
      <c r="E444" s="5" t="s">
        <v>1020</v>
      </c>
      <c r="F444" s="5" t="s">
        <v>1544</v>
      </c>
      <c r="G444" s="5" t="s">
        <v>1137</v>
      </c>
    </row>
    <row r="445" customFormat="false" ht="15" hidden="false" customHeight="false" outlineLevel="0" collapsed="false">
      <c r="A445" s="5" t="s">
        <v>1758</v>
      </c>
      <c r="B445" s="5" t="s">
        <v>1135</v>
      </c>
      <c r="C445" s="5" t="s">
        <v>1033</v>
      </c>
      <c r="D445" s="5" t="s">
        <v>1034</v>
      </c>
      <c r="E445" s="5" t="s">
        <v>1069</v>
      </c>
      <c r="F445" s="5" t="s">
        <v>1521</v>
      </c>
      <c r="G445" s="5" t="s">
        <v>1137</v>
      </c>
    </row>
    <row r="446" customFormat="false" ht="15" hidden="false" customHeight="false" outlineLevel="0" collapsed="false">
      <c r="A446" s="5" t="s">
        <v>1759</v>
      </c>
      <c r="B446" s="5" t="s">
        <v>1135</v>
      </c>
      <c r="C446" s="5" t="s">
        <v>1033</v>
      </c>
      <c r="D446" s="5" t="s">
        <v>1034</v>
      </c>
      <c r="E446" s="5" t="s">
        <v>543</v>
      </c>
      <c r="F446" s="5" t="s">
        <v>1143</v>
      </c>
      <c r="G446" s="5" t="s">
        <v>1137</v>
      </c>
    </row>
    <row r="447" customFormat="false" ht="15" hidden="false" customHeight="false" outlineLevel="0" collapsed="false">
      <c r="A447" s="5" t="s">
        <v>1760</v>
      </c>
      <c r="B447" s="5" t="s">
        <v>1135</v>
      </c>
      <c r="C447" s="5" t="s">
        <v>1040</v>
      </c>
      <c r="D447" s="5" t="s">
        <v>1041</v>
      </c>
      <c r="E447" s="5" t="s">
        <v>804</v>
      </c>
      <c r="F447" s="5" t="s">
        <v>1173</v>
      </c>
      <c r="G447" s="5" t="s">
        <v>1137</v>
      </c>
    </row>
    <row r="448" customFormat="false" ht="15" hidden="false" customHeight="false" outlineLevel="0" collapsed="false">
      <c r="A448" s="5" t="s">
        <v>1761</v>
      </c>
      <c r="B448" s="5" t="s">
        <v>1166</v>
      </c>
      <c r="C448" s="5" t="s">
        <v>1040</v>
      </c>
      <c r="D448" s="5" t="s">
        <v>1041</v>
      </c>
      <c r="E448" s="5" t="s">
        <v>1447</v>
      </c>
      <c r="F448" s="5"/>
      <c r="G448" s="5" t="s">
        <v>1137</v>
      </c>
    </row>
    <row r="449" customFormat="false" ht="15" hidden="false" customHeight="false" outlineLevel="0" collapsed="false">
      <c r="A449" s="5" t="s">
        <v>1762</v>
      </c>
      <c r="B449" s="5" t="s">
        <v>1135</v>
      </c>
      <c r="C449" s="5" t="s">
        <v>1051</v>
      </c>
      <c r="D449" s="5" t="s">
        <v>1052</v>
      </c>
      <c r="E449" s="5" t="s">
        <v>731</v>
      </c>
      <c r="F449" s="5" t="s">
        <v>1414</v>
      </c>
      <c r="G449" s="5" t="s">
        <v>1137</v>
      </c>
    </row>
    <row r="450" customFormat="false" ht="15" hidden="false" customHeight="false" outlineLevel="0" collapsed="false">
      <c r="A450" s="5" t="s">
        <v>1763</v>
      </c>
      <c r="B450" s="5" t="s">
        <v>1420</v>
      </c>
      <c r="C450" s="5" t="s">
        <v>1051</v>
      </c>
      <c r="D450" s="5" t="s">
        <v>1052</v>
      </c>
      <c r="E450" s="5" t="s">
        <v>1539</v>
      </c>
      <c r="F450" s="5"/>
      <c r="G450" s="5" t="s">
        <v>1137</v>
      </c>
    </row>
    <row r="451" customFormat="false" ht="15" hidden="false" customHeight="false" outlineLevel="0" collapsed="false">
      <c r="A451" s="5" t="s">
        <v>1764</v>
      </c>
      <c r="B451" s="5" t="s">
        <v>1135</v>
      </c>
      <c r="C451" s="5" t="s">
        <v>1058</v>
      </c>
      <c r="D451" s="5" t="s">
        <v>1059</v>
      </c>
      <c r="E451" s="5" t="s">
        <v>1061</v>
      </c>
      <c r="F451" s="5" t="s">
        <v>1561</v>
      </c>
      <c r="G451" s="5" t="s">
        <v>1137</v>
      </c>
    </row>
    <row r="452" customFormat="false" ht="15" hidden="false" customHeight="false" outlineLevel="0" collapsed="false">
      <c r="A452" s="5" t="s">
        <v>1765</v>
      </c>
      <c r="B452" s="5" t="s">
        <v>1135</v>
      </c>
      <c r="C452" s="5" t="s">
        <v>1063</v>
      </c>
      <c r="D452" s="5" t="s">
        <v>1064</v>
      </c>
      <c r="E452" s="5" t="s">
        <v>804</v>
      </c>
      <c r="F452" s="5" t="s">
        <v>1173</v>
      </c>
      <c r="G452" s="5" t="s">
        <v>1137</v>
      </c>
    </row>
    <row r="453" customFormat="false" ht="15" hidden="false" customHeight="false" outlineLevel="0" collapsed="false">
      <c r="A453" s="5" t="s">
        <v>1766</v>
      </c>
      <c r="B453" s="5" t="s">
        <v>1135</v>
      </c>
      <c r="C453" s="5" t="s">
        <v>1069</v>
      </c>
      <c r="D453" s="5" t="s">
        <v>1070</v>
      </c>
      <c r="E453" s="5" t="s">
        <v>1045</v>
      </c>
      <c r="F453" s="5" t="s">
        <v>1139</v>
      </c>
      <c r="G453" s="5" t="s">
        <v>1137</v>
      </c>
    </row>
    <row r="454" customFormat="false" ht="15" hidden="false" customHeight="false" outlineLevel="0" collapsed="false">
      <c r="A454" s="5" t="s">
        <v>1767</v>
      </c>
      <c r="B454" s="5" t="s">
        <v>1135</v>
      </c>
      <c r="C454" s="5" t="s">
        <v>1069</v>
      </c>
      <c r="D454" s="5" t="s">
        <v>1070</v>
      </c>
      <c r="E454" s="5" t="s">
        <v>1084</v>
      </c>
      <c r="F454" s="5" t="s">
        <v>1145</v>
      </c>
      <c r="G454" s="5" t="s">
        <v>1137</v>
      </c>
    </row>
    <row r="455" customFormat="false" ht="15" hidden="false" customHeight="false" outlineLevel="0" collapsed="false">
      <c r="A455" s="5" t="s">
        <v>1768</v>
      </c>
      <c r="B455" s="5" t="s">
        <v>1147</v>
      </c>
      <c r="C455" s="5" t="s">
        <v>1069</v>
      </c>
      <c r="D455" s="5" t="s">
        <v>1070</v>
      </c>
      <c r="E455" s="5" t="s">
        <v>1769</v>
      </c>
      <c r="F455" s="5"/>
      <c r="G455" s="5" t="s">
        <v>1137</v>
      </c>
    </row>
    <row r="456" customFormat="false" ht="15" hidden="false" customHeight="false" outlineLevel="0" collapsed="false">
      <c r="A456" s="5" t="s">
        <v>1770</v>
      </c>
      <c r="B456" s="5" t="s">
        <v>1135</v>
      </c>
      <c r="C456" s="5" t="s">
        <v>543</v>
      </c>
      <c r="D456" s="5" t="s">
        <v>1076</v>
      </c>
      <c r="E456" s="5" t="s">
        <v>1069</v>
      </c>
      <c r="F456" s="5" t="s">
        <v>1521</v>
      </c>
      <c r="G456" s="5" t="s">
        <v>1137</v>
      </c>
    </row>
    <row r="457" customFormat="false" ht="15" hidden="false" customHeight="false" outlineLevel="0" collapsed="false">
      <c r="A457" s="5" t="s">
        <v>1771</v>
      </c>
      <c r="B457" s="5" t="s">
        <v>1135</v>
      </c>
      <c r="C457" s="5" t="s">
        <v>1038</v>
      </c>
      <c r="D457" s="5" t="s">
        <v>1089</v>
      </c>
      <c r="E457" s="5" t="s">
        <v>998</v>
      </c>
      <c r="F457" s="5" t="s">
        <v>1511</v>
      </c>
      <c r="G457" s="5" t="s">
        <v>1137</v>
      </c>
    </row>
    <row r="458" customFormat="false" ht="15" hidden="false" customHeight="false" outlineLevel="0" collapsed="false">
      <c r="A458" s="5" t="s">
        <v>1772</v>
      </c>
      <c r="B458" s="5" t="s">
        <v>1135</v>
      </c>
      <c r="C458" s="5" t="s">
        <v>1038</v>
      </c>
      <c r="D458" s="5" t="s">
        <v>1089</v>
      </c>
      <c r="E458" s="5" t="s">
        <v>1005</v>
      </c>
      <c r="F458" s="5" t="s">
        <v>1513</v>
      </c>
      <c r="G458" s="5" t="s">
        <v>1137</v>
      </c>
    </row>
    <row r="459" customFormat="false" ht="15" hidden="false" customHeight="false" outlineLevel="0" collapsed="false">
      <c r="A459" s="5" t="s">
        <v>1773</v>
      </c>
      <c r="B459" s="5" t="s">
        <v>1135</v>
      </c>
      <c r="C459" s="5" t="s">
        <v>1038</v>
      </c>
      <c r="D459" s="5" t="s">
        <v>1089</v>
      </c>
      <c r="E459" s="5" t="s">
        <v>1012</v>
      </c>
      <c r="F459" s="5" t="s">
        <v>1756</v>
      </c>
      <c r="G459" s="5" t="s">
        <v>1137</v>
      </c>
    </row>
    <row r="460" customFormat="false" ht="15" hidden="false" customHeight="false" outlineLevel="0" collapsed="false">
      <c r="A460" s="5" t="s">
        <v>1774</v>
      </c>
      <c r="B460" s="5" t="s">
        <v>1135</v>
      </c>
      <c r="C460" s="5" t="s">
        <v>1038</v>
      </c>
      <c r="D460" s="5" t="s">
        <v>1089</v>
      </c>
      <c r="E460" s="5" t="s">
        <v>1020</v>
      </c>
      <c r="F460" s="5" t="s">
        <v>1544</v>
      </c>
      <c r="G460" s="5" t="s">
        <v>1137</v>
      </c>
    </row>
    <row r="461" customFormat="false" ht="15" hidden="false" customHeight="false" outlineLevel="0" collapsed="false">
      <c r="A461" s="5" t="s">
        <v>1775</v>
      </c>
      <c r="B461" s="5" t="s">
        <v>1135</v>
      </c>
      <c r="C461" s="5" t="s">
        <v>1038</v>
      </c>
      <c r="D461" s="5" t="s">
        <v>1089</v>
      </c>
      <c r="E461" s="5" t="s">
        <v>1033</v>
      </c>
      <c r="F461" s="5" t="s">
        <v>1776</v>
      </c>
      <c r="G461" s="5" t="s">
        <v>1137</v>
      </c>
    </row>
    <row r="462" customFormat="false" ht="15" hidden="false" customHeight="false" outlineLevel="0" collapsed="false">
      <c r="A462" s="5" t="s">
        <v>1777</v>
      </c>
      <c r="B462" s="5" t="s">
        <v>1135</v>
      </c>
      <c r="C462" s="5" t="s">
        <v>1038</v>
      </c>
      <c r="D462" s="5" t="s">
        <v>1089</v>
      </c>
      <c r="E462" s="5" t="s">
        <v>1040</v>
      </c>
      <c r="F462" s="5" t="s">
        <v>1136</v>
      </c>
      <c r="G462" s="5" t="s">
        <v>1137</v>
      </c>
    </row>
    <row r="463" customFormat="false" ht="15" hidden="false" customHeight="false" outlineLevel="0" collapsed="false">
      <c r="A463" s="5" t="s">
        <v>1778</v>
      </c>
      <c r="B463" s="5" t="s">
        <v>1135</v>
      </c>
      <c r="C463" s="5" t="s">
        <v>1038</v>
      </c>
      <c r="D463" s="5" t="s">
        <v>1089</v>
      </c>
      <c r="E463" s="5" t="s">
        <v>1045</v>
      </c>
      <c r="F463" s="5" t="s">
        <v>1139</v>
      </c>
      <c r="G463" s="5" t="s">
        <v>1137</v>
      </c>
    </row>
    <row r="464" customFormat="false" ht="15" hidden="false" customHeight="false" outlineLevel="0" collapsed="false">
      <c r="A464" s="5" t="s">
        <v>1779</v>
      </c>
      <c r="B464" s="5" t="s">
        <v>1135</v>
      </c>
      <c r="C464" s="5" t="s">
        <v>1038</v>
      </c>
      <c r="D464" s="5" t="s">
        <v>1089</v>
      </c>
      <c r="E464" s="5" t="s">
        <v>1058</v>
      </c>
      <c r="F464" s="5" t="s">
        <v>1780</v>
      </c>
      <c r="G464" s="5" t="s">
        <v>1137</v>
      </c>
    </row>
    <row r="465" customFormat="false" ht="15" hidden="false" customHeight="false" outlineLevel="0" collapsed="false">
      <c r="A465" s="5" t="s">
        <v>1781</v>
      </c>
      <c r="B465" s="5" t="s">
        <v>1135</v>
      </c>
      <c r="C465" s="5" t="s">
        <v>1038</v>
      </c>
      <c r="D465" s="5" t="s">
        <v>1089</v>
      </c>
      <c r="E465" s="5" t="s">
        <v>1063</v>
      </c>
      <c r="F465" s="5" t="s">
        <v>1141</v>
      </c>
      <c r="G465" s="5" t="s">
        <v>1137</v>
      </c>
    </row>
    <row r="466" customFormat="false" ht="15" hidden="false" customHeight="false" outlineLevel="0" collapsed="false">
      <c r="A466" s="5" t="s">
        <v>1782</v>
      </c>
      <c r="B466" s="5" t="s">
        <v>1135</v>
      </c>
      <c r="C466" s="5" t="s">
        <v>1038</v>
      </c>
      <c r="D466" s="5" t="s">
        <v>1089</v>
      </c>
      <c r="E466" s="5" t="s">
        <v>1069</v>
      </c>
      <c r="F466" s="5" t="s">
        <v>1521</v>
      </c>
      <c r="G466" s="5" t="s">
        <v>1137</v>
      </c>
    </row>
    <row r="467" customFormat="false" ht="15" hidden="false" customHeight="false" outlineLevel="0" collapsed="false">
      <c r="A467" s="5" t="s">
        <v>1783</v>
      </c>
      <c r="B467" s="5" t="s">
        <v>1135</v>
      </c>
      <c r="C467" s="5" t="s">
        <v>1038</v>
      </c>
      <c r="D467" s="5" t="s">
        <v>1089</v>
      </c>
      <c r="E467" s="5" t="s">
        <v>543</v>
      </c>
      <c r="F467" s="5" t="s">
        <v>1143</v>
      </c>
      <c r="G467" s="5" t="s">
        <v>1137</v>
      </c>
    </row>
    <row r="468" customFormat="false" ht="15" hidden="false" customHeight="false" outlineLevel="0" collapsed="false">
      <c r="A468" s="5" t="s">
        <v>1784</v>
      </c>
      <c r="B468" s="5" t="s">
        <v>1135</v>
      </c>
      <c r="C468" s="5" t="s">
        <v>1038</v>
      </c>
      <c r="D468" s="5" t="s">
        <v>1089</v>
      </c>
      <c r="E468" s="5" t="s">
        <v>1084</v>
      </c>
      <c r="F468" s="5" t="s">
        <v>1145</v>
      </c>
      <c r="G468" s="5" t="s">
        <v>1137</v>
      </c>
    </row>
    <row r="469" customFormat="false" ht="15" hidden="false" customHeight="false" outlineLevel="0" collapsed="false">
      <c r="A469" s="5" t="s">
        <v>1785</v>
      </c>
      <c r="B469" s="5" t="s">
        <v>1181</v>
      </c>
      <c r="C469" s="5" t="s">
        <v>1092</v>
      </c>
      <c r="D469" s="5" t="s">
        <v>1093</v>
      </c>
      <c r="E469" s="5" t="s">
        <v>1786</v>
      </c>
      <c r="F469" s="5"/>
      <c r="G469" s="5" t="s">
        <v>1137</v>
      </c>
    </row>
    <row r="470" customFormat="false" ht="15" hidden="false" customHeight="false" outlineLevel="0" collapsed="false">
      <c r="A470" s="5" t="s">
        <v>1787</v>
      </c>
      <c r="B470" s="5" t="s">
        <v>1181</v>
      </c>
      <c r="C470" s="5" t="s">
        <v>1092</v>
      </c>
      <c r="D470" s="5" t="s">
        <v>1093</v>
      </c>
      <c r="E470" s="5" t="s">
        <v>1182</v>
      </c>
      <c r="F470" s="5"/>
      <c r="G470" s="5" t="s">
        <v>1137</v>
      </c>
    </row>
    <row r="471" customFormat="false" ht="15" hidden="false" customHeight="false" outlineLevel="0" collapsed="false">
      <c r="A471" s="5" t="s">
        <v>1788</v>
      </c>
      <c r="B471" s="5" t="s">
        <v>1181</v>
      </c>
      <c r="C471" s="5" t="s">
        <v>1092</v>
      </c>
      <c r="D471" s="5" t="s">
        <v>1093</v>
      </c>
      <c r="E471" s="5" t="s">
        <v>1344</v>
      </c>
      <c r="F471" s="5"/>
      <c r="G471" s="5" t="s">
        <v>1137</v>
      </c>
    </row>
    <row r="472" customFormat="false" ht="15" hidden="false" customHeight="false" outlineLevel="0" collapsed="false">
      <c r="A472" s="5" t="s">
        <v>1789</v>
      </c>
      <c r="B472" s="5" t="s">
        <v>1181</v>
      </c>
      <c r="C472" s="5" t="s">
        <v>1092</v>
      </c>
      <c r="D472" s="5" t="s">
        <v>1093</v>
      </c>
      <c r="E472" s="5" t="s">
        <v>1348</v>
      </c>
      <c r="F472" s="5"/>
      <c r="G472" s="5" t="s">
        <v>1137</v>
      </c>
    </row>
    <row r="473" customFormat="false" ht="15" hidden="false" customHeight="false" outlineLevel="0" collapsed="false">
      <c r="A473" s="5" t="s">
        <v>1790</v>
      </c>
      <c r="B473" s="5" t="s">
        <v>1181</v>
      </c>
      <c r="C473" s="5" t="s">
        <v>1092</v>
      </c>
      <c r="D473" s="5" t="s">
        <v>1093</v>
      </c>
      <c r="E473" s="5" t="s">
        <v>888</v>
      </c>
      <c r="F473" s="5"/>
      <c r="G473" s="5" t="s">
        <v>1137</v>
      </c>
    </row>
    <row r="474" customFormat="false" ht="15" hidden="false" customHeight="false" outlineLevel="0" collapsed="false">
      <c r="A474" s="5" t="s">
        <v>1791</v>
      </c>
      <c r="B474" s="5" t="s">
        <v>1181</v>
      </c>
      <c r="C474" s="5" t="s">
        <v>1092</v>
      </c>
      <c r="D474" s="5" t="s">
        <v>1093</v>
      </c>
      <c r="E474" s="5" t="s">
        <v>1792</v>
      </c>
      <c r="F474" s="5"/>
      <c r="G474" s="5" t="s">
        <v>1137</v>
      </c>
    </row>
    <row r="475" customFormat="false" ht="15" hidden="false" customHeight="false" outlineLevel="0" collapsed="false">
      <c r="A475" s="5" t="s">
        <v>1793</v>
      </c>
      <c r="B475" s="5" t="s">
        <v>1181</v>
      </c>
      <c r="C475" s="5" t="s">
        <v>1092</v>
      </c>
      <c r="D475" s="5" t="s">
        <v>1093</v>
      </c>
      <c r="E475" s="5" t="s">
        <v>1794</v>
      </c>
      <c r="F475" s="5"/>
      <c r="G475" s="5" t="s">
        <v>1137</v>
      </c>
    </row>
    <row r="476" customFormat="false" ht="15" hidden="false" customHeight="false" outlineLevel="0" collapsed="false">
      <c r="A476" s="5" t="s">
        <v>1795</v>
      </c>
      <c r="B476" s="5" t="s">
        <v>1181</v>
      </c>
      <c r="C476" s="5" t="s">
        <v>1092</v>
      </c>
      <c r="D476" s="5" t="s">
        <v>1093</v>
      </c>
      <c r="E476" s="5" t="s">
        <v>937</v>
      </c>
      <c r="F476" s="5"/>
      <c r="G476" s="5" t="s">
        <v>1137</v>
      </c>
    </row>
    <row r="477" customFormat="false" ht="15" hidden="false" customHeight="false" outlineLevel="0" collapsed="false">
      <c r="A477" s="5" t="s">
        <v>1796</v>
      </c>
      <c r="B477" s="5" t="s">
        <v>1181</v>
      </c>
      <c r="C477" s="5" t="s">
        <v>1092</v>
      </c>
      <c r="D477" s="5" t="s">
        <v>1093</v>
      </c>
      <c r="E477" s="5" t="s">
        <v>1321</v>
      </c>
      <c r="F477" s="5"/>
      <c r="G477" s="5" t="s">
        <v>1137</v>
      </c>
    </row>
    <row r="478" customFormat="false" ht="15" hidden="false" customHeight="false" outlineLevel="0" collapsed="false">
      <c r="A478" s="5" t="s">
        <v>1797</v>
      </c>
      <c r="B478" s="5" t="s">
        <v>1181</v>
      </c>
      <c r="C478" s="5" t="s">
        <v>1092</v>
      </c>
      <c r="D478" s="5" t="s">
        <v>1093</v>
      </c>
      <c r="E478" s="5" t="s">
        <v>1323</v>
      </c>
      <c r="F478" s="5"/>
      <c r="G478" s="5" t="s">
        <v>1137</v>
      </c>
    </row>
    <row r="479" customFormat="false" ht="15" hidden="false" customHeight="false" outlineLevel="0" collapsed="false">
      <c r="A479" s="5" t="s">
        <v>1798</v>
      </c>
      <c r="B479" s="5" t="s">
        <v>1181</v>
      </c>
      <c r="C479" s="5" t="s">
        <v>1092</v>
      </c>
      <c r="D479" s="5" t="s">
        <v>1093</v>
      </c>
      <c r="E479" s="5" t="s">
        <v>930</v>
      </c>
      <c r="F479" s="5"/>
      <c r="G479" s="5" t="s">
        <v>1137</v>
      </c>
    </row>
    <row r="480" customFormat="false" ht="15" hidden="false" customHeight="false" outlineLevel="0" collapsed="false">
      <c r="A480" s="5" t="s">
        <v>1799</v>
      </c>
      <c r="B480" s="5" t="s">
        <v>1181</v>
      </c>
      <c r="C480" s="5" t="s">
        <v>1092</v>
      </c>
      <c r="D480" s="5" t="s">
        <v>1093</v>
      </c>
      <c r="E480" s="5" t="s">
        <v>1800</v>
      </c>
      <c r="F480" s="5"/>
      <c r="G480" s="5" t="s">
        <v>1137</v>
      </c>
    </row>
    <row r="481" customFormat="false" ht="15" hidden="false" customHeight="false" outlineLevel="0" collapsed="false">
      <c r="A481" s="5" t="s">
        <v>1801</v>
      </c>
      <c r="B481" s="5" t="s">
        <v>1181</v>
      </c>
      <c r="C481" s="5" t="s">
        <v>1092</v>
      </c>
      <c r="D481" s="5" t="s">
        <v>1093</v>
      </c>
      <c r="E481" s="5" t="s">
        <v>788</v>
      </c>
      <c r="F481" s="5"/>
      <c r="G481" s="5" t="s">
        <v>1137</v>
      </c>
    </row>
    <row r="482" customFormat="false" ht="15" hidden="false" customHeight="false" outlineLevel="0" collapsed="false">
      <c r="A482" s="5" t="s">
        <v>1802</v>
      </c>
      <c r="B482" s="5" t="s">
        <v>1181</v>
      </c>
      <c r="C482" s="5" t="s">
        <v>1092</v>
      </c>
      <c r="D482" s="5" t="s">
        <v>1093</v>
      </c>
      <c r="E482" s="5" t="s">
        <v>763</v>
      </c>
      <c r="F482" s="5"/>
      <c r="G482" s="5" t="s">
        <v>1137</v>
      </c>
    </row>
    <row r="483" customFormat="false" ht="15" hidden="false" customHeight="false" outlineLevel="0" collapsed="false">
      <c r="A483" s="5" t="s">
        <v>1803</v>
      </c>
      <c r="B483" s="5" t="s">
        <v>1431</v>
      </c>
      <c r="C483" s="5" t="s">
        <v>1092</v>
      </c>
      <c r="D483" s="5" t="s">
        <v>1093</v>
      </c>
      <c r="E483" s="5" t="s">
        <v>1804</v>
      </c>
      <c r="F483" s="5"/>
      <c r="G483" s="5" t="s">
        <v>1137</v>
      </c>
    </row>
    <row r="484" customFormat="false" ht="15" hidden="false" customHeight="false" outlineLevel="0" collapsed="false">
      <c r="A484" s="5" t="s">
        <v>1805</v>
      </c>
      <c r="B484" s="5" t="s">
        <v>1181</v>
      </c>
      <c r="C484" s="5" t="s">
        <v>804</v>
      </c>
      <c r="D484" s="5" t="s">
        <v>1101</v>
      </c>
      <c r="E484" s="5" t="s">
        <v>1348</v>
      </c>
      <c r="F484" s="5"/>
      <c r="G484" s="5" t="s">
        <v>1137</v>
      </c>
    </row>
    <row r="485" customFormat="false" ht="15" hidden="false" customHeight="false" outlineLevel="0" collapsed="false">
      <c r="A485" s="5" t="s">
        <v>1806</v>
      </c>
      <c r="B485" s="5" t="s">
        <v>1181</v>
      </c>
      <c r="C485" s="5" t="s">
        <v>804</v>
      </c>
      <c r="D485" s="5" t="s">
        <v>1101</v>
      </c>
      <c r="E485" s="5" t="s">
        <v>763</v>
      </c>
      <c r="F485" s="5"/>
      <c r="G485" s="5" t="s">
        <v>1137</v>
      </c>
    </row>
  </sheetData>
  <autoFilter ref="A4:G4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8"/>
    <col collapsed="false" customWidth="true" hidden="false" outlineLevel="0" max="4" min="3" style="0" width="8"/>
    <col collapsed="false" customWidth="true" hidden="false" outlineLevel="0" max="5" min="5" style="0" width="34"/>
    <col collapsed="false" customWidth="true" hidden="false" outlineLevel="0" max="6" min="6" style="0" width="50"/>
    <col collapsed="false" customWidth="true" hidden="false" outlineLevel="0" max="7" min="7" style="0" width="30"/>
  </cols>
  <sheetData>
    <row r="1" customFormat="false" ht="17.35" hidden="false" customHeight="false" outlineLevel="0" collapsed="false">
      <c r="A1" s="9" t="s">
        <v>1807</v>
      </c>
    </row>
    <row r="2" customFormat="false" ht="15" hidden="false" customHeight="false" outlineLevel="0" collapsed="false">
      <c r="A2" s="10" t="s">
        <v>1808</v>
      </c>
    </row>
    <row r="4" customFormat="false" ht="30" hidden="false" customHeight="true" outlineLevel="0" collapsed="false">
      <c r="A4" s="12" t="s">
        <v>1809</v>
      </c>
      <c r="B4" s="12" t="s">
        <v>1810</v>
      </c>
      <c r="C4" s="12" t="s">
        <v>1811</v>
      </c>
      <c r="D4" s="12" t="s">
        <v>1812</v>
      </c>
      <c r="E4" s="12" t="s">
        <v>1813</v>
      </c>
      <c r="F4" s="12" t="s">
        <v>1814</v>
      </c>
      <c r="G4" s="12" t="s">
        <v>1815</v>
      </c>
    </row>
    <row r="5" customFormat="false" ht="23.85" hidden="false" customHeight="false" outlineLevel="0" collapsed="false">
      <c r="A5" s="5" t="s">
        <v>1816</v>
      </c>
      <c r="B5" s="5" t="s">
        <v>1315</v>
      </c>
      <c r="C5" s="5" t="n">
        <v>1</v>
      </c>
      <c r="D5" s="5" t="n">
        <v>10</v>
      </c>
      <c r="E5" s="5" t="s">
        <v>197</v>
      </c>
      <c r="F5" s="5" t="s">
        <v>1817</v>
      </c>
      <c r="G5" s="5" t="s">
        <v>1818</v>
      </c>
    </row>
    <row r="6" customFormat="false" ht="23.85" hidden="false" customHeight="false" outlineLevel="0" collapsed="false">
      <c r="A6" s="5" t="s">
        <v>1819</v>
      </c>
      <c r="B6" s="5" t="s">
        <v>1177</v>
      </c>
      <c r="C6" s="5" t="n">
        <v>1</v>
      </c>
      <c r="D6" s="5" t="n">
        <v>10</v>
      </c>
      <c r="E6" s="5" t="s">
        <v>175</v>
      </c>
      <c r="F6" s="5" t="s">
        <v>1820</v>
      </c>
      <c r="G6" s="5" t="s">
        <v>1818</v>
      </c>
    </row>
    <row r="7" customFormat="false" ht="23.85" hidden="false" customHeight="false" outlineLevel="0" collapsed="false">
      <c r="A7" s="5" t="s">
        <v>1821</v>
      </c>
      <c r="B7" s="5" t="s">
        <v>1822</v>
      </c>
      <c r="C7" s="5" t="n">
        <v>0</v>
      </c>
      <c r="D7" s="5" t="n">
        <v>11</v>
      </c>
      <c r="E7" s="5"/>
      <c r="F7" s="5" t="s">
        <v>1823</v>
      </c>
      <c r="G7" s="5" t="s">
        <v>1824</v>
      </c>
    </row>
    <row r="8" customFormat="false" ht="23.85" hidden="false" customHeight="false" outlineLevel="0" collapsed="false">
      <c r="A8" s="5" t="s">
        <v>1825</v>
      </c>
      <c r="B8" s="5" t="s">
        <v>1447</v>
      </c>
      <c r="C8" s="5" t="n">
        <v>2</v>
      </c>
      <c r="D8" s="5" t="n">
        <v>7</v>
      </c>
      <c r="E8" s="5" t="s">
        <v>1826</v>
      </c>
      <c r="F8" s="5" t="s">
        <v>1827</v>
      </c>
      <c r="G8" s="5" t="s">
        <v>1818</v>
      </c>
    </row>
    <row r="9" customFormat="false" ht="23.85" hidden="false" customHeight="false" outlineLevel="0" collapsed="false">
      <c r="A9" s="5" t="s">
        <v>1828</v>
      </c>
      <c r="B9" s="5" t="s">
        <v>1531</v>
      </c>
      <c r="C9" s="5" t="n">
        <v>1</v>
      </c>
      <c r="D9" s="5" t="n">
        <v>7</v>
      </c>
      <c r="E9" s="5" t="s">
        <v>821</v>
      </c>
      <c r="F9" s="5" t="s">
        <v>1829</v>
      </c>
      <c r="G9" s="5" t="s">
        <v>1818</v>
      </c>
    </row>
    <row r="10" customFormat="false" ht="23.85" hidden="false" customHeight="false" outlineLevel="0" collapsed="false">
      <c r="A10" s="5" t="s">
        <v>1830</v>
      </c>
      <c r="B10" s="5" t="s">
        <v>1332</v>
      </c>
      <c r="C10" s="5" t="n">
        <v>1</v>
      </c>
      <c r="D10" s="5" t="n">
        <v>6</v>
      </c>
      <c r="E10" s="5" t="s">
        <v>158</v>
      </c>
      <c r="F10" s="5" t="s">
        <v>1831</v>
      </c>
      <c r="G10" s="5" t="s">
        <v>1818</v>
      </c>
    </row>
    <row r="11" customFormat="false" ht="23.85" hidden="false" customHeight="false" outlineLevel="0" collapsed="false">
      <c r="A11" s="5" t="s">
        <v>1832</v>
      </c>
      <c r="B11" s="5" t="s">
        <v>1833</v>
      </c>
      <c r="C11" s="5" t="n">
        <v>0</v>
      </c>
      <c r="D11" s="5" t="n">
        <v>7</v>
      </c>
      <c r="E11" s="5"/>
      <c r="F11" s="5" t="s">
        <v>1834</v>
      </c>
      <c r="G11" s="5" t="s">
        <v>1824</v>
      </c>
    </row>
    <row r="12" customFormat="false" ht="23.85" hidden="false" customHeight="false" outlineLevel="0" collapsed="false">
      <c r="A12" s="5" t="s">
        <v>1835</v>
      </c>
      <c r="B12" s="5" t="s">
        <v>1195</v>
      </c>
      <c r="C12" s="5" t="n">
        <v>1</v>
      </c>
      <c r="D12" s="5" t="n">
        <v>5</v>
      </c>
      <c r="E12" s="5" t="s">
        <v>171</v>
      </c>
      <c r="F12" s="5" t="s">
        <v>1836</v>
      </c>
      <c r="G12" s="5" t="s">
        <v>1818</v>
      </c>
    </row>
    <row r="13" customFormat="false" ht="23.85" hidden="false" customHeight="false" outlineLevel="0" collapsed="false">
      <c r="A13" s="5" t="s">
        <v>1837</v>
      </c>
      <c r="B13" s="5" t="s">
        <v>1395</v>
      </c>
      <c r="C13" s="5" t="n">
        <v>1</v>
      </c>
      <c r="D13" s="5" t="n">
        <v>4</v>
      </c>
      <c r="E13" s="5" t="s">
        <v>234</v>
      </c>
      <c r="F13" s="5" t="s">
        <v>1838</v>
      </c>
      <c r="G13" s="5" t="s">
        <v>1818</v>
      </c>
    </row>
    <row r="14" customFormat="false" ht="23.85" hidden="false" customHeight="false" outlineLevel="0" collapsed="false">
      <c r="A14" s="5" t="s">
        <v>1839</v>
      </c>
      <c r="B14" s="5" t="s">
        <v>1179</v>
      </c>
      <c r="C14" s="5" t="n">
        <v>4</v>
      </c>
      <c r="D14" s="5" t="n">
        <v>1</v>
      </c>
      <c r="E14" s="5" t="s">
        <v>1840</v>
      </c>
      <c r="F14" s="5" t="s">
        <v>189</v>
      </c>
      <c r="G14" s="5" t="s">
        <v>1818</v>
      </c>
    </row>
    <row r="15" customFormat="false" ht="23.85" hidden="false" customHeight="false" outlineLevel="0" collapsed="false">
      <c r="A15" s="5" t="s">
        <v>1841</v>
      </c>
      <c r="B15" s="5" t="s">
        <v>1842</v>
      </c>
      <c r="C15" s="5" t="n">
        <v>0</v>
      </c>
      <c r="D15" s="5" t="n">
        <v>5</v>
      </c>
      <c r="E15" s="5"/>
      <c r="F15" s="5" t="s">
        <v>1843</v>
      </c>
      <c r="G15" s="5" t="s">
        <v>1824</v>
      </c>
    </row>
    <row r="16" customFormat="false" ht="23.85" hidden="false" customHeight="false" outlineLevel="0" collapsed="false">
      <c r="A16" s="5" t="s">
        <v>1844</v>
      </c>
      <c r="B16" s="5" t="s">
        <v>1418</v>
      </c>
      <c r="C16" s="5" t="n">
        <v>1</v>
      </c>
      <c r="D16" s="5" t="n">
        <v>3</v>
      </c>
      <c r="E16" s="5" t="s">
        <v>189</v>
      </c>
      <c r="F16" s="5" t="s">
        <v>1845</v>
      </c>
      <c r="G16" s="5" t="s">
        <v>1818</v>
      </c>
    </row>
    <row r="17" customFormat="false" ht="23.85" hidden="false" customHeight="false" outlineLevel="0" collapsed="false">
      <c r="A17" s="5" t="s">
        <v>1846</v>
      </c>
      <c r="B17" s="5" t="s">
        <v>1257</v>
      </c>
      <c r="C17" s="5" t="n">
        <v>1</v>
      </c>
      <c r="D17" s="5" t="n">
        <v>3</v>
      </c>
      <c r="E17" s="5" t="s">
        <v>301</v>
      </c>
      <c r="F17" s="5" t="s">
        <v>1847</v>
      </c>
      <c r="G17" s="5" t="s">
        <v>1818</v>
      </c>
    </row>
    <row r="18" customFormat="false" ht="23.85" hidden="false" customHeight="false" outlineLevel="0" collapsed="false">
      <c r="A18" s="5" t="s">
        <v>1848</v>
      </c>
      <c r="B18" s="5" t="s">
        <v>1226</v>
      </c>
      <c r="C18" s="5" t="n">
        <v>1</v>
      </c>
      <c r="D18" s="5" t="n">
        <v>3</v>
      </c>
      <c r="E18" s="5" t="s">
        <v>162</v>
      </c>
      <c r="F18" s="5" t="s">
        <v>1849</v>
      </c>
      <c r="G18" s="5" t="s">
        <v>1818</v>
      </c>
    </row>
    <row r="19" customFormat="false" ht="23.85" hidden="false" customHeight="false" outlineLevel="0" collapsed="false">
      <c r="A19" s="5" t="s">
        <v>1850</v>
      </c>
      <c r="B19" s="5" t="s">
        <v>1240</v>
      </c>
      <c r="C19" s="5" t="n">
        <v>1</v>
      </c>
      <c r="D19" s="5" t="n">
        <v>3</v>
      </c>
      <c r="E19" s="5" t="s">
        <v>166</v>
      </c>
      <c r="F19" s="5" t="s">
        <v>1851</v>
      </c>
      <c r="G19" s="5" t="s">
        <v>1818</v>
      </c>
    </row>
    <row r="20" customFormat="false" ht="23.85" hidden="false" customHeight="false" outlineLevel="0" collapsed="false">
      <c r="A20" s="5" t="s">
        <v>1852</v>
      </c>
      <c r="B20" s="5" t="s">
        <v>1209</v>
      </c>
      <c r="C20" s="5" t="n">
        <v>2</v>
      </c>
      <c r="D20" s="5" t="n">
        <v>2</v>
      </c>
      <c r="E20" s="5" t="s">
        <v>1853</v>
      </c>
      <c r="F20" s="5" t="s">
        <v>1854</v>
      </c>
      <c r="G20" s="5" t="s">
        <v>1818</v>
      </c>
    </row>
    <row r="21" customFormat="false" ht="23.85" hidden="false" customHeight="false" outlineLevel="0" collapsed="false">
      <c r="A21" s="5" t="s">
        <v>1855</v>
      </c>
      <c r="B21" s="5" t="s">
        <v>1359</v>
      </c>
      <c r="C21" s="5" t="n">
        <v>1</v>
      </c>
      <c r="D21" s="5" t="n">
        <v>3</v>
      </c>
      <c r="E21" s="5" t="s">
        <v>259</v>
      </c>
      <c r="F21" s="5" t="s">
        <v>1856</v>
      </c>
      <c r="G21" s="5" t="s">
        <v>1818</v>
      </c>
    </row>
    <row r="22" customFormat="false" ht="23.85" hidden="false" customHeight="false" outlineLevel="0" collapsed="false">
      <c r="A22" s="5" t="s">
        <v>1857</v>
      </c>
      <c r="B22" s="5" t="s">
        <v>1858</v>
      </c>
      <c r="C22" s="5" t="n">
        <v>0</v>
      </c>
      <c r="D22" s="5" t="n">
        <v>4</v>
      </c>
      <c r="E22" s="5"/>
      <c r="F22" s="5" t="s">
        <v>1859</v>
      </c>
      <c r="G22" s="5" t="s">
        <v>1824</v>
      </c>
    </row>
    <row r="23" customFormat="false" ht="23.85" hidden="false" customHeight="false" outlineLevel="0" collapsed="false">
      <c r="A23" s="5" t="s">
        <v>1860</v>
      </c>
      <c r="B23" s="5" t="s">
        <v>1861</v>
      </c>
      <c r="C23" s="5" t="n">
        <v>0</v>
      </c>
      <c r="D23" s="5" t="n">
        <v>3</v>
      </c>
      <c r="E23" s="5"/>
      <c r="F23" s="5" t="s">
        <v>1862</v>
      </c>
      <c r="G23" s="5" t="s">
        <v>1824</v>
      </c>
    </row>
    <row r="24" customFormat="false" ht="23.85" hidden="false" customHeight="false" outlineLevel="0" collapsed="false">
      <c r="A24" s="5" t="s">
        <v>1863</v>
      </c>
      <c r="B24" s="5" t="s">
        <v>1416</v>
      </c>
      <c r="C24" s="5" t="n">
        <v>1</v>
      </c>
      <c r="D24" s="5" t="n">
        <v>2</v>
      </c>
      <c r="E24" s="5" t="s">
        <v>189</v>
      </c>
      <c r="F24" s="5" t="s">
        <v>1864</v>
      </c>
      <c r="G24" s="5" t="s">
        <v>1818</v>
      </c>
    </row>
    <row r="25" customFormat="false" ht="23.85" hidden="false" customHeight="false" outlineLevel="0" collapsed="false">
      <c r="A25" s="5" t="s">
        <v>1865</v>
      </c>
      <c r="B25" s="5" t="s">
        <v>1233</v>
      </c>
      <c r="C25" s="5" t="n">
        <v>1</v>
      </c>
      <c r="D25" s="5" t="n">
        <v>2</v>
      </c>
      <c r="E25" s="5" t="s">
        <v>315</v>
      </c>
      <c r="F25" s="5" t="s">
        <v>1866</v>
      </c>
      <c r="G25" s="5" t="s">
        <v>1818</v>
      </c>
    </row>
    <row r="26" customFormat="false" ht="23.85" hidden="false" customHeight="false" outlineLevel="0" collapsed="false">
      <c r="A26" s="5" t="s">
        <v>1867</v>
      </c>
      <c r="B26" s="5" t="s">
        <v>1242</v>
      </c>
      <c r="C26" s="5" t="n">
        <v>1</v>
      </c>
      <c r="D26" s="5" t="n">
        <v>2</v>
      </c>
      <c r="E26" s="5" t="s">
        <v>166</v>
      </c>
      <c r="F26" s="5" t="s">
        <v>1868</v>
      </c>
      <c r="G26" s="5" t="s">
        <v>1818</v>
      </c>
    </row>
    <row r="27" customFormat="false" ht="23.85" hidden="false" customHeight="false" outlineLevel="0" collapsed="false">
      <c r="A27" s="5" t="s">
        <v>1869</v>
      </c>
      <c r="B27" s="5" t="s">
        <v>1260</v>
      </c>
      <c r="C27" s="5" t="n">
        <v>1</v>
      </c>
      <c r="D27" s="5" t="n">
        <v>2</v>
      </c>
      <c r="E27" s="5" t="s">
        <v>301</v>
      </c>
      <c r="F27" s="5" t="s">
        <v>1870</v>
      </c>
      <c r="G27" s="5" t="s">
        <v>1818</v>
      </c>
    </row>
    <row r="28" customFormat="false" ht="23.85" hidden="false" customHeight="false" outlineLevel="0" collapsed="false">
      <c r="A28" s="5" t="s">
        <v>1871</v>
      </c>
      <c r="B28" s="5" t="s">
        <v>1228</v>
      </c>
      <c r="C28" s="5" t="n">
        <v>1</v>
      </c>
      <c r="D28" s="5" t="n">
        <v>2</v>
      </c>
      <c r="E28" s="5" t="s">
        <v>162</v>
      </c>
      <c r="F28" s="5" t="s">
        <v>1872</v>
      </c>
      <c r="G28" s="5" t="s">
        <v>1818</v>
      </c>
    </row>
    <row r="29" customFormat="false" ht="23.85" hidden="false" customHeight="false" outlineLevel="0" collapsed="false">
      <c r="A29" s="5" t="s">
        <v>1873</v>
      </c>
      <c r="B29" s="5" t="s">
        <v>1365</v>
      </c>
      <c r="C29" s="5" t="n">
        <v>1</v>
      </c>
      <c r="D29" s="5" t="n">
        <v>2</v>
      </c>
      <c r="E29" s="5" t="s">
        <v>259</v>
      </c>
      <c r="F29" s="5" t="s">
        <v>1874</v>
      </c>
      <c r="G29" s="5" t="s">
        <v>1818</v>
      </c>
    </row>
    <row r="30" customFormat="false" ht="23.85" hidden="false" customHeight="false" outlineLevel="0" collapsed="false">
      <c r="A30" s="5" t="s">
        <v>1875</v>
      </c>
      <c r="B30" s="5" t="s">
        <v>1367</v>
      </c>
      <c r="C30" s="5" t="n">
        <v>1</v>
      </c>
      <c r="D30" s="5" t="n">
        <v>2</v>
      </c>
      <c r="E30" s="5" t="s">
        <v>259</v>
      </c>
      <c r="F30" s="5" t="s">
        <v>1874</v>
      </c>
      <c r="G30" s="5" t="s">
        <v>1818</v>
      </c>
    </row>
    <row r="31" customFormat="false" ht="23.85" hidden="false" customHeight="false" outlineLevel="0" collapsed="false">
      <c r="A31" s="5" t="s">
        <v>1876</v>
      </c>
      <c r="B31" s="5" t="s">
        <v>1373</v>
      </c>
      <c r="C31" s="5" t="n">
        <v>1</v>
      </c>
      <c r="D31" s="5" t="n">
        <v>2</v>
      </c>
      <c r="E31" s="5" t="s">
        <v>259</v>
      </c>
      <c r="F31" s="5" t="s">
        <v>1874</v>
      </c>
      <c r="G31" s="5" t="s">
        <v>1818</v>
      </c>
    </row>
    <row r="32" customFormat="false" ht="23.85" hidden="false" customHeight="false" outlineLevel="0" collapsed="false">
      <c r="A32" s="5" t="s">
        <v>1877</v>
      </c>
      <c r="B32" s="5" t="s">
        <v>1383</v>
      </c>
      <c r="C32" s="5" t="n">
        <v>1</v>
      </c>
      <c r="D32" s="5" t="n">
        <v>2</v>
      </c>
      <c r="E32" s="5" t="s">
        <v>259</v>
      </c>
      <c r="F32" s="5" t="s">
        <v>1874</v>
      </c>
      <c r="G32" s="5" t="s">
        <v>1818</v>
      </c>
    </row>
    <row r="33" customFormat="false" ht="23.85" hidden="false" customHeight="false" outlineLevel="0" collapsed="false">
      <c r="A33" s="5" t="s">
        <v>1878</v>
      </c>
      <c r="B33" s="5" t="s">
        <v>1389</v>
      </c>
      <c r="C33" s="5" t="n">
        <v>1</v>
      </c>
      <c r="D33" s="5" t="n">
        <v>2</v>
      </c>
      <c r="E33" s="5" t="s">
        <v>259</v>
      </c>
      <c r="F33" s="5" t="s">
        <v>1874</v>
      </c>
      <c r="G33" s="5" t="s">
        <v>1818</v>
      </c>
    </row>
    <row r="34" customFormat="false" ht="23.85" hidden="false" customHeight="false" outlineLevel="0" collapsed="false">
      <c r="A34" s="5" t="s">
        <v>1879</v>
      </c>
      <c r="B34" s="5" t="s">
        <v>1200</v>
      </c>
      <c r="C34" s="5" t="n">
        <v>1</v>
      </c>
      <c r="D34" s="5" t="n">
        <v>2</v>
      </c>
      <c r="E34" s="5" t="s">
        <v>180</v>
      </c>
      <c r="F34" s="5" t="s">
        <v>1880</v>
      </c>
      <c r="G34" s="5" t="s">
        <v>1818</v>
      </c>
    </row>
    <row r="35" customFormat="false" ht="23.85" hidden="false" customHeight="false" outlineLevel="0" collapsed="false">
      <c r="A35" s="5" t="s">
        <v>1881</v>
      </c>
      <c r="B35" s="5" t="s">
        <v>1882</v>
      </c>
      <c r="C35" s="5" t="n">
        <v>0</v>
      </c>
      <c r="D35" s="5" t="n">
        <v>3</v>
      </c>
      <c r="E35" s="5"/>
      <c r="F35" s="5" t="s">
        <v>1862</v>
      </c>
      <c r="G35" s="5" t="s">
        <v>1824</v>
      </c>
    </row>
    <row r="36" customFormat="false" ht="23.85" hidden="false" customHeight="false" outlineLevel="0" collapsed="false">
      <c r="A36" s="5" t="s">
        <v>1883</v>
      </c>
      <c r="B36" s="5" t="s">
        <v>1525</v>
      </c>
      <c r="C36" s="5" t="n">
        <v>1</v>
      </c>
      <c r="D36" s="5" t="n">
        <v>1</v>
      </c>
      <c r="E36" s="5" t="s">
        <v>821</v>
      </c>
      <c r="F36" s="5" t="s">
        <v>143</v>
      </c>
      <c r="G36" s="5" t="s">
        <v>1818</v>
      </c>
    </row>
    <row r="37" customFormat="false" ht="23.85" hidden="false" customHeight="false" outlineLevel="0" collapsed="false">
      <c r="A37" s="5" t="s">
        <v>1884</v>
      </c>
      <c r="B37" s="5" t="s">
        <v>1885</v>
      </c>
      <c r="C37" s="5" t="n">
        <v>0</v>
      </c>
      <c r="D37" s="5" t="n">
        <v>2</v>
      </c>
      <c r="E37" s="5"/>
      <c r="F37" s="5" t="s">
        <v>1886</v>
      </c>
      <c r="G37" s="5" t="s">
        <v>1824</v>
      </c>
    </row>
    <row r="38" customFormat="false" ht="23.85" hidden="false" customHeight="false" outlineLevel="0" collapsed="false">
      <c r="A38" s="5" t="s">
        <v>1887</v>
      </c>
      <c r="B38" s="5" t="s">
        <v>1255</v>
      </c>
      <c r="C38" s="5" t="n">
        <v>1</v>
      </c>
      <c r="D38" s="5" t="n">
        <v>1</v>
      </c>
      <c r="E38" s="5" t="s">
        <v>301</v>
      </c>
      <c r="F38" s="5" t="s">
        <v>166</v>
      </c>
      <c r="G38" s="5" t="s">
        <v>1818</v>
      </c>
    </row>
    <row r="39" customFormat="false" ht="23.85" hidden="false" customHeight="false" outlineLevel="0" collapsed="false">
      <c r="A39" s="5" t="s">
        <v>1888</v>
      </c>
      <c r="B39" s="5" t="s">
        <v>1188</v>
      </c>
      <c r="C39" s="5" t="n">
        <v>1</v>
      </c>
      <c r="D39" s="5" t="n">
        <v>1</v>
      </c>
      <c r="E39" s="5" t="s">
        <v>268</v>
      </c>
      <c r="F39" s="5" t="s">
        <v>234</v>
      </c>
      <c r="G39" s="5" t="s">
        <v>1818</v>
      </c>
    </row>
    <row r="40" customFormat="false" ht="23.85" hidden="false" customHeight="false" outlineLevel="0" collapsed="false">
      <c r="A40" s="5" t="s">
        <v>1889</v>
      </c>
      <c r="B40" s="5" t="s">
        <v>1222</v>
      </c>
      <c r="C40" s="5" t="n">
        <v>1</v>
      </c>
      <c r="D40" s="5" t="n">
        <v>1</v>
      </c>
      <c r="E40" s="5" t="s">
        <v>162</v>
      </c>
      <c r="F40" s="5" t="s">
        <v>234</v>
      </c>
      <c r="G40" s="5" t="s">
        <v>1818</v>
      </c>
    </row>
    <row r="41" customFormat="false" ht="23.85" hidden="false" customHeight="false" outlineLevel="0" collapsed="false">
      <c r="A41" s="5" t="s">
        <v>1890</v>
      </c>
      <c r="B41" s="5" t="s">
        <v>1342</v>
      </c>
      <c r="C41" s="5" t="n">
        <v>1</v>
      </c>
      <c r="D41" s="5" t="n">
        <v>1</v>
      </c>
      <c r="E41" s="5" t="s">
        <v>263</v>
      </c>
      <c r="F41" s="5" t="s">
        <v>234</v>
      </c>
      <c r="G41" s="5" t="s">
        <v>1818</v>
      </c>
    </row>
    <row r="42" customFormat="false" ht="23.85" hidden="false" customHeight="false" outlineLevel="0" collapsed="false">
      <c r="A42" s="5" t="s">
        <v>1891</v>
      </c>
      <c r="B42" s="5" t="s">
        <v>1357</v>
      </c>
      <c r="C42" s="5" t="n">
        <v>1</v>
      </c>
      <c r="D42" s="5" t="n">
        <v>1</v>
      </c>
      <c r="E42" s="5" t="s">
        <v>259</v>
      </c>
      <c r="F42" s="5" t="s">
        <v>234</v>
      </c>
      <c r="G42" s="5" t="s">
        <v>1818</v>
      </c>
    </row>
    <row r="43" customFormat="false" ht="23.85" hidden="false" customHeight="false" outlineLevel="0" collapsed="false">
      <c r="A43" s="5" t="s">
        <v>1892</v>
      </c>
      <c r="B43" s="5" t="s">
        <v>1224</v>
      </c>
      <c r="C43" s="5" t="n">
        <v>1</v>
      </c>
      <c r="D43" s="5" t="n">
        <v>1</v>
      </c>
      <c r="E43" s="5" t="s">
        <v>162</v>
      </c>
      <c r="F43" s="5" t="s">
        <v>180</v>
      </c>
      <c r="G43" s="5" t="s">
        <v>1818</v>
      </c>
    </row>
    <row r="44" customFormat="false" ht="15" hidden="false" customHeight="false" outlineLevel="0" collapsed="false">
      <c r="A44" s="5" t="s">
        <v>1893</v>
      </c>
      <c r="B44" s="5" t="s">
        <v>1238</v>
      </c>
      <c r="C44" s="5" t="n">
        <v>2</v>
      </c>
      <c r="D44" s="5" t="n">
        <v>0</v>
      </c>
      <c r="E44" s="5" t="s">
        <v>1894</v>
      </c>
      <c r="F44" s="5"/>
      <c r="G44" s="5" t="s">
        <v>1895</v>
      </c>
    </row>
    <row r="45" customFormat="false" ht="23.85" hidden="false" customHeight="false" outlineLevel="0" collapsed="false">
      <c r="A45" s="5" t="s">
        <v>1896</v>
      </c>
      <c r="B45" s="5" t="s">
        <v>1262</v>
      </c>
      <c r="C45" s="5" t="n">
        <v>1</v>
      </c>
      <c r="D45" s="5" t="n">
        <v>1</v>
      </c>
      <c r="E45" s="5" t="s">
        <v>301</v>
      </c>
      <c r="F45" s="5" t="s">
        <v>166</v>
      </c>
      <c r="G45" s="5" t="s">
        <v>1818</v>
      </c>
    </row>
    <row r="46" customFormat="false" ht="15" hidden="false" customHeight="false" outlineLevel="0" collapsed="false">
      <c r="A46" s="5" t="s">
        <v>1897</v>
      </c>
      <c r="B46" s="5" t="s">
        <v>1244</v>
      </c>
      <c r="C46" s="5" t="n">
        <v>2</v>
      </c>
      <c r="D46" s="5" t="n">
        <v>0</v>
      </c>
      <c r="E46" s="5" t="s">
        <v>1866</v>
      </c>
      <c r="F46" s="5"/>
      <c r="G46" s="5" t="s">
        <v>1895</v>
      </c>
    </row>
    <row r="47" customFormat="false" ht="23.85" hidden="false" customHeight="false" outlineLevel="0" collapsed="false">
      <c r="A47" s="5" t="s">
        <v>1898</v>
      </c>
      <c r="B47" s="5" t="s">
        <v>1285</v>
      </c>
      <c r="C47" s="5" t="n">
        <v>1</v>
      </c>
      <c r="D47" s="5" t="n">
        <v>1</v>
      </c>
      <c r="E47" s="5" t="s">
        <v>323</v>
      </c>
      <c r="F47" s="5" t="s">
        <v>166</v>
      </c>
      <c r="G47" s="5" t="s">
        <v>1818</v>
      </c>
    </row>
    <row r="48" customFormat="false" ht="23.85" hidden="false" customHeight="false" outlineLevel="0" collapsed="false">
      <c r="A48" s="5" t="s">
        <v>1899</v>
      </c>
      <c r="B48" s="5" t="s">
        <v>1330</v>
      </c>
      <c r="C48" s="5" t="n">
        <v>1</v>
      </c>
      <c r="D48" s="5" t="n">
        <v>1</v>
      </c>
      <c r="E48" s="5" t="s">
        <v>158</v>
      </c>
      <c r="F48" s="5" t="s">
        <v>323</v>
      </c>
      <c r="G48" s="5" t="s">
        <v>1818</v>
      </c>
    </row>
    <row r="49" customFormat="false" ht="23.85" hidden="false" customHeight="false" outlineLevel="0" collapsed="false">
      <c r="A49" s="5" t="s">
        <v>1900</v>
      </c>
      <c r="B49" s="5" t="s">
        <v>1167</v>
      </c>
      <c r="C49" s="5" t="n">
        <v>1</v>
      </c>
      <c r="D49" s="5" t="n">
        <v>1</v>
      </c>
      <c r="E49" s="5" t="s">
        <v>289</v>
      </c>
      <c r="F49" s="5" t="s">
        <v>185</v>
      </c>
      <c r="G49" s="5" t="s">
        <v>1818</v>
      </c>
    </row>
    <row r="50" customFormat="false" ht="23.85" hidden="false" customHeight="false" outlineLevel="0" collapsed="false">
      <c r="A50" s="5" t="s">
        <v>1901</v>
      </c>
      <c r="B50" s="5" t="s">
        <v>1246</v>
      </c>
      <c r="C50" s="5" t="n">
        <v>1</v>
      </c>
      <c r="D50" s="5" t="n">
        <v>1</v>
      </c>
      <c r="E50" s="5" t="s">
        <v>166</v>
      </c>
      <c r="F50" s="5" t="s">
        <v>301</v>
      </c>
      <c r="G50" s="5" t="s">
        <v>1818</v>
      </c>
    </row>
    <row r="51" customFormat="false" ht="23.85" hidden="false" customHeight="false" outlineLevel="0" collapsed="false">
      <c r="A51" s="5" t="s">
        <v>1902</v>
      </c>
      <c r="B51" s="5" t="s">
        <v>1363</v>
      </c>
      <c r="C51" s="5" t="n">
        <v>1</v>
      </c>
      <c r="D51" s="5" t="n">
        <v>1</v>
      </c>
      <c r="E51" s="5" t="s">
        <v>259</v>
      </c>
      <c r="F51" s="5" t="s">
        <v>263</v>
      </c>
      <c r="G51" s="5" t="s">
        <v>1818</v>
      </c>
    </row>
    <row r="52" customFormat="false" ht="23.85" hidden="false" customHeight="false" outlineLevel="0" collapsed="false">
      <c r="A52" s="5" t="s">
        <v>1903</v>
      </c>
      <c r="B52" s="5" t="s">
        <v>1371</v>
      </c>
      <c r="C52" s="5" t="n">
        <v>1</v>
      </c>
      <c r="D52" s="5" t="n">
        <v>1</v>
      </c>
      <c r="E52" s="5" t="s">
        <v>259</v>
      </c>
      <c r="F52" s="5" t="s">
        <v>263</v>
      </c>
      <c r="G52" s="5" t="s">
        <v>1818</v>
      </c>
    </row>
    <row r="53" customFormat="false" ht="23.85" hidden="false" customHeight="false" outlineLevel="0" collapsed="false">
      <c r="A53" s="5" t="s">
        <v>1904</v>
      </c>
      <c r="B53" s="5" t="s">
        <v>1375</v>
      </c>
      <c r="C53" s="5" t="n">
        <v>1</v>
      </c>
      <c r="D53" s="5" t="n">
        <v>1</v>
      </c>
      <c r="E53" s="5" t="s">
        <v>259</v>
      </c>
      <c r="F53" s="5" t="s">
        <v>268</v>
      </c>
      <c r="G53" s="5" t="s">
        <v>1818</v>
      </c>
    </row>
    <row r="54" customFormat="false" ht="23.85" hidden="false" customHeight="false" outlineLevel="0" collapsed="false">
      <c r="A54" s="5" t="s">
        <v>1905</v>
      </c>
      <c r="B54" s="5" t="s">
        <v>1381</v>
      </c>
      <c r="C54" s="5" t="n">
        <v>1</v>
      </c>
      <c r="D54" s="5" t="n">
        <v>1</v>
      </c>
      <c r="E54" s="5" t="s">
        <v>259</v>
      </c>
      <c r="F54" s="5" t="s">
        <v>268</v>
      </c>
      <c r="G54" s="5" t="s">
        <v>1818</v>
      </c>
    </row>
    <row r="55" customFormat="false" ht="23.85" hidden="false" customHeight="false" outlineLevel="0" collapsed="false">
      <c r="A55" s="5" t="s">
        <v>1906</v>
      </c>
      <c r="B55" s="5" t="s">
        <v>1387</v>
      </c>
      <c r="C55" s="5" t="n">
        <v>1</v>
      </c>
      <c r="D55" s="5" t="n">
        <v>1</v>
      </c>
      <c r="E55" s="5" t="s">
        <v>259</v>
      </c>
      <c r="F55" s="5" t="s">
        <v>263</v>
      </c>
      <c r="G55" s="5" t="s">
        <v>1818</v>
      </c>
    </row>
    <row r="56" customFormat="false" ht="23.85" hidden="false" customHeight="false" outlineLevel="0" collapsed="false">
      <c r="A56" s="5" t="s">
        <v>1907</v>
      </c>
      <c r="B56" s="5" t="s">
        <v>1436</v>
      </c>
      <c r="C56" s="5" t="n">
        <v>1</v>
      </c>
      <c r="D56" s="5" t="n">
        <v>1</v>
      </c>
      <c r="E56" s="5" t="s">
        <v>246</v>
      </c>
      <c r="F56" s="5" t="s">
        <v>276</v>
      </c>
      <c r="G56" s="5" t="s">
        <v>1818</v>
      </c>
    </row>
    <row r="57" customFormat="false" ht="23.85" hidden="false" customHeight="false" outlineLevel="0" collapsed="false">
      <c r="A57" s="5" t="s">
        <v>1908</v>
      </c>
      <c r="B57" s="5" t="s">
        <v>1438</v>
      </c>
      <c r="C57" s="5" t="n">
        <v>1</v>
      </c>
      <c r="D57" s="5" t="n">
        <v>1</v>
      </c>
      <c r="E57" s="5" t="s">
        <v>246</v>
      </c>
      <c r="F57" s="5" t="s">
        <v>242</v>
      </c>
      <c r="G57" s="5" t="s">
        <v>1818</v>
      </c>
    </row>
    <row r="58" customFormat="false" ht="23.85" hidden="false" customHeight="false" outlineLevel="0" collapsed="false">
      <c r="A58" s="5" t="s">
        <v>1909</v>
      </c>
      <c r="B58" s="5" t="s">
        <v>1267</v>
      </c>
      <c r="C58" s="5" t="n">
        <v>1</v>
      </c>
      <c r="D58" s="5" t="n">
        <v>1</v>
      </c>
      <c r="E58" s="5" t="s">
        <v>301</v>
      </c>
      <c r="F58" s="5" t="s">
        <v>180</v>
      </c>
      <c r="G58" s="5" t="s">
        <v>1818</v>
      </c>
    </row>
    <row r="59" customFormat="false" ht="23.85" hidden="false" customHeight="false" outlineLevel="0" collapsed="false">
      <c r="A59" s="5" t="s">
        <v>1910</v>
      </c>
      <c r="B59" s="5" t="s">
        <v>1269</v>
      </c>
      <c r="C59" s="5" t="n">
        <v>1</v>
      </c>
      <c r="D59" s="5" t="n">
        <v>1</v>
      </c>
      <c r="E59" s="5" t="s">
        <v>301</v>
      </c>
      <c r="F59" s="5" t="s">
        <v>242</v>
      </c>
      <c r="G59" s="5" t="s">
        <v>1818</v>
      </c>
    </row>
    <row r="60" customFormat="false" ht="23.85" hidden="false" customHeight="false" outlineLevel="0" collapsed="false">
      <c r="A60" s="5" t="s">
        <v>1911</v>
      </c>
      <c r="B60" s="5" t="s">
        <v>1912</v>
      </c>
      <c r="C60" s="5" t="n">
        <v>0</v>
      </c>
      <c r="D60" s="5" t="n">
        <v>2</v>
      </c>
      <c r="E60" s="5"/>
      <c r="F60" s="5" t="s">
        <v>1913</v>
      </c>
      <c r="G60" s="5" t="s">
        <v>1824</v>
      </c>
    </row>
    <row r="61" customFormat="false" ht="23.85" hidden="false" customHeight="false" outlineLevel="0" collapsed="false">
      <c r="A61" s="5" t="s">
        <v>1914</v>
      </c>
      <c r="B61" s="5" t="s">
        <v>1915</v>
      </c>
      <c r="C61" s="5" t="n">
        <v>0</v>
      </c>
      <c r="D61" s="5" t="n">
        <v>2</v>
      </c>
      <c r="E61" s="5"/>
      <c r="F61" s="5" t="s">
        <v>1916</v>
      </c>
      <c r="G61" s="5" t="s">
        <v>1824</v>
      </c>
    </row>
    <row r="62" customFormat="false" ht="23.85" hidden="false" customHeight="false" outlineLevel="0" collapsed="false">
      <c r="A62" s="5" t="s">
        <v>1917</v>
      </c>
      <c r="B62" s="5" t="s">
        <v>1918</v>
      </c>
      <c r="C62" s="5" t="n">
        <v>0</v>
      </c>
      <c r="D62" s="5" t="n">
        <v>2</v>
      </c>
      <c r="E62" s="5"/>
      <c r="F62" s="5" t="s">
        <v>1916</v>
      </c>
      <c r="G62" s="5" t="s">
        <v>1824</v>
      </c>
    </row>
    <row r="63" customFormat="false" ht="23.85" hidden="false" customHeight="false" outlineLevel="0" collapsed="false">
      <c r="A63" s="5" t="s">
        <v>1919</v>
      </c>
      <c r="B63" s="5" t="s">
        <v>1920</v>
      </c>
      <c r="C63" s="5" t="n">
        <v>0</v>
      </c>
      <c r="D63" s="5" t="n">
        <v>2</v>
      </c>
      <c r="E63" s="5"/>
      <c r="F63" s="5" t="s">
        <v>1921</v>
      </c>
      <c r="G63" s="5" t="s">
        <v>1824</v>
      </c>
    </row>
    <row r="64" customFormat="false" ht="23.85" hidden="false" customHeight="false" outlineLevel="0" collapsed="false">
      <c r="A64" s="5" t="s">
        <v>1922</v>
      </c>
      <c r="B64" s="5" t="s">
        <v>1923</v>
      </c>
      <c r="C64" s="5" t="n">
        <v>0</v>
      </c>
      <c r="D64" s="5" t="n">
        <v>2</v>
      </c>
      <c r="E64" s="5"/>
      <c r="F64" s="5" t="s">
        <v>1924</v>
      </c>
      <c r="G64" s="5" t="s">
        <v>1824</v>
      </c>
    </row>
    <row r="65" customFormat="false" ht="23.85" hidden="false" customHeight="false" outlineLevel="0" collapsed="false">
      <c r="A65" s="5" t="s">
        <v>1925</v>
      </c>
      <c r="B65" s="5" t="s">
        <v>1298</v>
      </c>
      <c r="C65" s="5" t="n">
        <v>1</v>
      </c>
      <c r="D65" s="5" t="n">
        <v>1</v>
      </c>
      <c r="E65" s="5" t="s">
        <v>293</v>
      </c>
      <c r="F65" s="5" t="s">
        <v>301</v>
      </c>
      <c r="G65" s="5" t="s">
        <v>1818</v>
      </c>
    </row>
    <row r="66" customFormat="false" ht="23.85" hidden="false" customHeight="false" outlineLevel="0" collapsed="false">
      <c r="A66" s="5" t="s">
        <v>1926</v>
      </c>
      <c r="B66" s="5" t="s">
        <v>1927</v>
      </c>
      <c r="C66" s="5" t="n">
        <v>0</v>
      </c>
      <c r="D66" s="5" t="n">
        <v>2</v>
      </c>
      <c r="E66" s="5"/>
      <c r="F66" s="5" t="s">
        <v>1913</v>
      </c>
      <c r="G66" s="5" t="s">
        <v>1824</v>
      </c>
    </row>
    <row r="67" customFormat="false" ht="23.85" hidden="false" customHeight="false" outlineLevel="0" collapsed="false">
      <c r="A67" s="5" t="s">
        <v>1928</v>
      </c>
      <c r="B67" s="5" t="s">
        <v>1929</v>
      </c>
      <c r="C67" s="5" t="n">
        <v>0</v>
      </c>
      <c r="D67" s="5" t="n">
        <v>1</v>
      </c>
      <c r="E67" s="5"/>
      <c r="F67" s="5" t="s">
        <v>764</v>
      </c>
      <c r="G67" s="5" t="s">
        <v>1824</v>
      </c>
    </row>
    <row r="68" customFormat="false" ht="23.85" hidden="false" customHeight="false" outlineLevel="0" collapsed="false">
      <c r="A68" s="5" t="s">
        <v>1930</v>
      </c>
      <c r="B68" s="5" t="s">
        <v>1931</v>
      </c>
      <c r="C68" s="5" t="n">
        <v>0</v>
      </c>
      <c r="D68" s="5" t="n">
        <v>1</v>
      </c>
      <c r="E68" s="5"/>
      <c r="F68" s="5" t="s">
        <v>234</v>
      </c>
      <c r="G68" s="5" t="s">
        <v>1824</v>
      </c>
    </row>
    <row r="69" customFormat="false" ht="15" hidden="false" customHeight="false" outlineLevel="0" collapsed="false">
      <c r="A69" s="5" t="s">
        <v>1932</v>
      </c>
      <c r="B69" s="5" t="s">
        <v>1527</v>
      </c>
      <c r="C69" s="5" t="n">
        <v>1</v>
      </c>
      <c r="D69" s="5" t="n">
        <v>0</v>
      </c>
      <c r="E69" s="5" t="s">
        <v>821</v>
      </c>
      <c r="F69" s="5"/>
      <c r="G69" s="5" t="s">
        <v>1895</v>
      </c>
    </row>
    <row r="70" customFormat="false" ht="15" hidden="false" customHeight="false" outlineLevel="0" collapsed="false">
      <c r="A70" s="5" t="s">
        <v>1933</v>
      </c>
      <c r="B70" s="5" t="s">
        <v>1529</v>
      </c>
      <c r="C70" s="5" t="n">
        <v>1</v>
      </c>
      <c r="D70" s="5" t="n">
        <v>0</v>
      </c>
      <c r="E70" s="5" t="s">
        <v>821</v>
      </c>
      <c r="F70" s="5"/>
      <c r="G70" s="5" t="s">
        <v>1895</v>
      </c>
    </row>
    <row r="71" customFormat="false" ht="23.85" hidden="false" customHeight="false" outlineLevel="0" collapsed="false">
      <c r="A71" s="5" t="s">
        <v>1934</v>
      </c>
      <c r="B71" s="5" t="s">
        <v>1935</v>
      </c>
      <c r="C71" s="5" t="n">
        <v>0</v>
      </c>
      <c r="D71" s="5" t="n">
        <v>1</v>
      </c>
      <c r="E71" s="5"/>
      <c r="F71" s="5" t="s">
        <v>234</v>
      </c>
      <c r="G71" s="5" t="s">
        <v>1824</v>
      </c>
    </row>
    <row r="72" customFormat="false" ht="23.85" hidden="false" customHeight="false" outlineLevel="0" collapsed="false">
      <c r="A72" s="5" t="s">
        <v>1936</v>
      </c>
      <c r="B72" s="5" t="s">
        <v>1937</v>
      </c>
      <c r="C72" s="5" t="n">
        <v>0</v>
      </c>
      <c r="D72" s="5" t="n">
        <v>1</v>
      </c>
      <c r="E72" s="5"/>
      <c r="F72" s="5" t="s">
        <v>234</v>
      </c>
      <c r="G72" s="5" t="s">
        <v>1824</v>
      </c>
    </row>
    <row r="73" customFormat="false" ht="23.85" hidden="false" customHeight="false" outlineLevel="0" collapsed="false">
      <c r="A73" s="5" t="s">
        <v>1938</v>
      </c>
      <c r="B73" s="5" t="s">
        <v>1939</v>
      </c>
      <c r="C73" s="5" t="n">
        <v>0</v>
      </c>
      <c r="D73" s="5" t="n">
        <v>1</v>
      </c>
      <c r="E73" s="5"/>
      <c r="F73" s="5" t="s">
        <v>301</v>
      </c>
      <c r="G73" s="5" t="s">
        <v>1824</v>
      </c>
    </row>
    <row r="74" customFormat="false" ht="23.85" hidden="false" customHeight="false" outlineLevel="0" collapsed="false">
      <c r="A74" s="5" t="s">
        <v>1940</v>
      </c>
      <c r="B74" s="5" t="s">
        <v>1278</v>
      </c>
      <c r="C74" s="5" t="n">
        <v>0</v>
      </c>
      <c r="D74" s="5" t="n">
        <v>1</v>
      </c>
      <c r="E74" s="5"/>
      <c r="F74" s="5" t="s">
        <v>821</v>
      </c>
      <c r="G74" s="5" t="s">
        <v>1824</v>
      </c>
    </row>
    <row r="75" customFormat="false" ht="15" hidden="false" customHeight="false" outlineLevel="0" collapsed="false">
      <c r="A75" s="5" t="s">
        <v>1941</v>
      </c>
      <c r="B75" s="5" t="s">
        <v>1287</v>
      </c>
      <c r="C75" s="5" t="n">
        <v>1</v>
      </c>
      <c r="D75" s="5" t="n">
        <v>0</v>
      </c>
      <c r="E75" s="5" t="s">
        <v>323</v>
      </c>
      <c r="F75" s="5"/>
      <c r="G75" s="5" t="s">
        <v>1895</v>
      </c>
    </row>
    <row r="76" customFormat="false" ht="15" hidden="false" customHeight="false" outlineLevel="0" collapsed="false">
      <c r="A76" s="5" t="s">
        <v>1942</v>
      </c>
      <c r="B76" s="5" t="s">
        <v>1264</v>
      </c>
      <c r="C76" s="5" t="n">
        <v>1</v>
      </c>
      <c r="D76" s="5" t="n">
        <v>0</v>
      </c>
      <c r="E76" s="5" t="s">
        <v>301</v>
      </c>
      <c r="F76" s="5"/>
      <c r="G76" s="5" t="s">
        <v>1895</v>
      </c>
    </row>
    <row r="77" customFormat="false" ht="23.85" hidden="false" customHeight="false" outlineLevel="0" collapsed="false">
      <c r="A77" s="5" t="s">
        <v>1943</v>
      </c>
      <c r="B77" s="5" t="s">
        <v>1944</v>
      </c>
      <c r="C77" s="5" t="n">
        <v>0</v>
      </c>
      <c r="D77" s="5" t="n">
        <v>1</v>
      </c>
      <c r="E77" s="5"/>
      <c r="F77" s="5" t="s">
        <v>242</v>
      </c>
      <c r="G77" s="5" t="s">
        <v>1824</v>
      </c>
    </row>
    <row r="78" customFormat="false" ht="23.85" hidden="false" customHeight="false" outlineLevel="0" collapsed="false">
      <c r="A78" s="5" t="s">
        <v>1945</v>
      </c>
      <c r="B78" s="5" t="s">
        <v>1946</v>
      </c>
      <c r="C78" s="5" t="n">
        <v>0</v>
      </c>
      <c r="D78" s="5" t="n">
        <v>1</v>
      </c>
      <c r="E78" s="5"/>
      <c r="F78" s="5" t="s">
        <v>301</v>
      </c>
      <c r="G78" s="5" t="s">
        <v>1824</v>
      </c>
    </row>
    <row r="79" customFormat="false" ht="15" hidden="false" customHeight="false" outlineLevel="0" collapsed="false">
      <c r="A79" s="5" t="s">
        <v>1947</v>
      </c>
      <c r="B79" s="5" t="s">
        <v>1361</v>
      </c>
      <c r="C79" s="5" t="n">
        <v>1</v>
      </c>
      <c r="D79" s="5" t="n">
        <v>0</v>
      </c>
      <c r="E79" s="5" t="s">
        <v>259</v>
      </c>
      <c r="F79" s="5"/>
      <c r="G79" s="5" t="s">
        <v>1895</v>
      </c>
    </row>
    <row r="80" customFormat="false" ht="15" hidden="false" customHeight="false" outlineLevel="0" collapsed="false">
      <c r="A80" s="5" t="s">
        <v>1948</v>
      </c>
      <c r="B80" s="5" t="s">
        <v>1369</v>
      </c>
      <c r="C80" s="5" t="n">
        <v>1</v>
      </c>
      <c r="D80" s="5" t="n">
        <v>0</v>
      </c>
      <c r="E80" s="5" t="s">
        <v>259</v>
      </c>
      <c r="F80" s="5"/>
      <c r="G80" s="5" t="s">
        <v>1895</v>
      </c>
    </row>
    <row r="81" customFormat="false" ht="15" hidden="false" customHeight="false" outlineLevel="0" collapsed="false">
      <c r="A81" s="5" t="s">
        <v>1949</v>
      </c>
      <c r="B81" s="5" t="s">
        <v>1377</v>
      </c>
      <c r="C81" s="5" t="n">
        <v>1</v>
      </c>
      <c r="D81" s="5" t="n">
        <v>0</v>
      </c>
      <c r="E81" s="5" t="s">
        <v>259</v>
      </c>
      <c r="F81" s="5"/>
      <c r="G81" s="5" t="s">
        <v>1895</v>
      </c>
    </row>
    <row r="82" customFormat="false" ht="15" hidden="false" customHeight="false" outlineLevel="0" collapsed="false">
      <c r="A82" s="5" t="s">
        <v>1950</v>
      </c>
      <c r="B82" s="5" t="s">
        <v>1379</v>
      </c>
      <c r="C82" s="5" t="n">
        <v>1</v>
      </c>
      <c r="D82" s="5" t="n">
        <v>0</v>
      </c>
      <c r="E82" s="5" t="s">
        <v>259</v>
      </c>
      <c r="F82" s="5"/>
      <c r="G82" s="5" t="s">
        <v>1895</v>
      </c>
    </row>
    <row r="83" customFormat="false" ht="15" hidden="false" customHeight="false" outlineLevel="0" collapsed="false">
      <c r="A83" s="5" t="s">
        <v>1951</v>
      </c>
      <c r="B83" s="5" t="s">
        <v>1385</v>
      </c>
      <c r="C83" s="5" t="n">
        <v>1</v>
      </c>
      <c r="D83" s="5" t="n">
        <v>0</v>
      </c>
      <c r="E83" s="5" t="s">
        <v>259</v>
      </c>
      <c r="F83" s="5"/>
      <c r="G83" s="5" t="s">
        <v>1895</v>
      </c>
    </row>
    <row r="84" customFormat="false" ht="15" hidden="false" customHeight="false" outlineLevel="0" collapsed="false">
      <c r="A84" s="5" t="s">
        <v>1952</v>
      </c>
      <c r="B84" s="5" t="s">
        <v>1403</v>
      </c>
      <c r="C84" s="5" t="n">
        <v>1</v>
      </c>
      <c r="D84" s="5" t="n">
        <v>0</v>
      </c>
      <c r="E84" s="5" t="s">
        <v>255</v>
      </c>
      <c r="F84" s="5"/>
      <c r="G84" s="5" t="s">
        <v>1895</v>
      </c>
    </row>
    <row r="85" customFormat="false" ht="23.85" hidden="false" customHeight="false" outlineLevel="0" collapsed="false">
      <c r="A85" s="5" t="s">
        <v>1953</v>
      </c>
      <c r="B85" s="5" t="s">
        <v>1954</v>
      </c>
      <c r="C85" s="5" t="n">
        <v>0</v>
      </c>
      <c r="D85" s="5" t="n">
        <v>1</v>
      </c>
      <c r="E85" s="5"/>
      <c r="F85" s="5" t="s">
        <v>832</v>
      </c>
      <c r="G85" s="5" t="s">
        <v>1824</v>
      </c>
    </row>
    <row r="86" customFormat="false" ht="23.85" hidden="false" customHeight="false" outlineLevel="0" collapsed="false">
      <c r="A86" s="5" t="s">
        <v>1955</v>
      </c>
      <c r="B86" s="5" t="s">
        <v>1956</v>
      </c>
      <c r="C86" s="5" t="n">
        <v>0</v>
      </c>
      <c r="D86" s="5" t="n">
        <v>1</v>
      </c>
      <c r="E86" s="5"/>
      <c r="F86" s="5" t="s">
        <v>821</v>
      </c>
      <c r="G86" s="5" t="s">
        <v>1824</v>
      </c>
    </row>
    <row r="87" customFormat="false" ht="23.85" hidden="false" customHeight="false" outlineLevel="0" collapsed="false">
      <c r="A87" s="5" t="s">
        <v>1957</v>
      </c>
      <c r="B87" s="5" t="s">
        <v>1958</v>
      </c>
      <c r="C87" s="5" t="n">
        <v>0</v>
      </c>
      <c r="D87" s="5" t="n">
        <v>1</v>
      </c>
      <c r="E87" s="5"/>
      <c r="F87" s="5" t="s">
        <v>1092</v>
      </c>
      <c r="G87" s="5" t="s">
        <v>1824</v>
      </c>
    </row>
    <row r="88" customFormat="false" ht="15" hidden="false" customHeight="false" outlineLevel="0" collapsed="false">
      <c r="A88" s="5" t="s">
        <v>1959</v>
      </c>
      <c r="B88" s="5" t="s">
        <v>1714</v>
      </c>
      <c r="C88" s="5" t="n">
        <v>1</v>
      </c>
      <c r="D88" s="5" t="n">
        <v>0</v>
      </c>
      <c r="E88" s="5" t="s">
        <v>819</v>
      </c>
      <c r="F88" s="5"/>
      <c r="G88" s="5" t="s">
        <v>1895</v>
      </c>
    </row>
    <row r="89" customFormat="false" ht="15" hidden="false" customHeight="false" outlineLevel="0" collapsed="false">
      <c r="A89" s="5" t="s">
        <v>1960</v>
      </c>
      <c r="B89" s="5" t="s">
        <v>1497</v>
      </c>
      <c r="C89" s="5" t="n">
        <v>1</v>
      </c>
      <c r="D89" s="5" t="n">
        <v>0</v>
      </c>
      <c r="E89" s="5" t="s">
        <v>806</v>
      </c>
      <c r="F89" s="5"/>
      <c r="G89" s="5" t="s">
        <v>1895</v>
      </c>
    </row>
    <row r="90" customFormat="false" ht="23.85" hidden="false" customHeight="false" outlineLevel="0" collapsed="false">
      <c r="A90" s="5" t="s">
        <v>1961</v>
      </c>
      <c r="B90" s="5" t="s">
        <v>1962</v>
      </c>
      <c r="C90" s="5" t="n">
        <v>0</v>
      </c>
      <c r="D90" s="5" t="n">
        <v>1</v>
      </c>
      <c r="E90" s="5"/>
      <c r="F90" s="5" t="s">
        <v>1092</v>
      </c>
      <c r="G90" s="5" t="s">
        <v>1824</v>
      </c>
    </row>
    <row r="91" customFormat="false" ht="15" hidden="false" customHeight="false" outlineLevel="0" collapsed="false">
      <c r="A91" s="5" t="s">
        <v>1963</v>
      </c>
      <c r="B91" s="5" t="s">
        <v>1499</v>
      </c>
      <c r="C91" s="5" t="n">
        <v>1</v>
      </c>
      <c r="D91" s="5" t="n">
        <v>0</v>
      </c>
      <c r="E91" s="5" t="s">
        <v>806</v>
      </c>
      <c r="F91" s="5"/>
      <c r="G91" s="5" t="s">
        <v>1895</v>
      </c>
    </row>
    <row r="92" customFormat="false" ht="23.85" hidden="false" customHeight="false" outlineLevel="0" collapsed="false">
      <c r="A92" s="5" t="s">
        <v>1964</v>
      </c>
      <c r="B92" s="5" t="s">
        <v>1965</v>
      </c>
      <c r="C92" s="5" t="n">
        <v>0</v>
      </c>
      <c r="D92" s="5" t="n">
        <v>1</v>
      </c>
      <c r="E92" s="5"/>
      <c r="F92" s="5" t="s">
        <v>1092</v>
      </c>
      <c r="G92" s="5" t="s">
        <v>1824</v>
      </c>
    </row>
    <row r="93" customFormat="false" ht="15" hidden="false" customHeight="false" outlineLevel="0" collapsed="false">
      <c r="A93" s="5" t="s">
        <v>1966</v>
      </c>
      <c r="B93" s="5" t="s">
        <v>1501</v>
      </c>
      <c r="C93" s="5" t="n">
        <v>1</v>
      </c>
      <c r="D93" s="5" t="n">
        <v>0</v>
      </c>
      <c r="E93" s="5" t="s">
        <v>806</v>
      </c>
      <c r="F93" s="5"/>
      <c r="G93" s="5" t="s">
        <v>1895</v>
      </c>
    </row>
    <row r="94" customFormat="false" ht="15" hidden="false" customHeight="false" outlineLevel="0" collapsed="false">
      <c r="A94" s="5" t="s">
        <v>1967</v>
      </c>
      <c r="B94" s="5" t="s">
        <v>1549</v>
      </c>
      <c r="C94" s="5" t="n">
        <v>1</v>
      </c>
      <c r="D94" s="5" t="n">
        <v>0</v>
      </c>
      <c r="E94" s="5" t="s">
        <v>832</v>
      </c>
      <c r="F94" s="5"/>
      <c r="G94" s="5" t="s">
        <v>1895</v>
      </c>
    </row>
    <row r="95" customFormat="false" ht="23.85" hidden="false" customHeight="false" outlineLevel="0" collapsed="false">
      <c r="A95" s="5" t="s">
        <v>1968</v>
      </c>
      <c r="B95" s="5" t="s">
        <v>1969</v>
      </c>
      <c r="C95" s="5" t="n">
        <v>0</v>
      </c>
      <c r="D95" s="5" t="n">
        <v>1</v>
      </c>
      <c r="E95" s="5"/>
      <c r="F95" s="5" t="s">
        <v>819</v>
      </c>
      <c r="G95" s="5" t="s">
        <v>1824</v>
      </c>
    </row>
    <row r="96" customFormat="false" ht="15" hidden="false" customHeight="false" outlineLevel="0" collapsed="false">
      <c r="A96" s="5" t="s">
        <v>1970</v>
      </c>
      <c r="B96" s="5" t="s">
        <v>1551</v>
      </c>
      <c r="C96" s="5" t="n">
        <v>1</v>
      </c>
      <c r="D96" s="5" t="n">
        <v>0</v>
      </c>
      <c r="E96" s="5" t="s">
        <v>832</v>
      </c>
      <c r="F96" s="5"/>
      <c r="G96" s="5" t="s">
        <v>1895</v>
      </c>
    </row>
    <row r="97" customFormat="false" ht="15" hidden="false" customHeight="false" outlineLevel="0" collapsed="false">
      <c r="A97" s="5" t="s">
        <v>1971</v>
      </c>
      <c r="B97" s="5" t="s">
        <v>1202</v>
      </c>
      <c r="C97" s="5" t="n">
        <v>1</v>
      </c>
      <c r="D97" s="5" t="n">
        <v>0</v>
      </c>
      <c r="E97" s="5" t="s">
        <v>180</v>
      </c>
      <c r="F97" s="5"/>
      <c r="G97" s="5" t="s">
        <v>1895</v>
      </c>
    </row>
    <row r="98" customFormat="false" ht="15" hidden="false" customHeight="false" outlineLevel="0" collapsed="false">
      <c r="A98" s="5" t="s">
        <v>1972</v>
      </c>
      <c r="B98" s="5" t="s">
        <v>1271</v>
      </c>
      <c r="C98" s="5" t="n">
        <v>1</v>
      </c>
      <c r="D98" s="5" t="n">
        <v>0</v>
      </c>
      <c r="E98" s="5" t="s">
        <v>301</v>
      </c>
      <c r="F98" s="5"/>
      <c r="G98" s="5" t="s">
        <v>1895</v>
      </c>
    </row>
    <row r="99" customFormat="false" ht="23.85" hidden="false" customHeight="false" outlineLevel="0" collapsed="false">
      <c r="A99" s="5" t="s">
        <v>1973</v>
      </c>
      <c r="B99" s="5" t="s">
        <v>1974</v>
      </c>
      <c r="C99" s="5" t="n">
        <v>0</v>
      </c>
      <c r="D99" s="5" t="n">
        <v>1</v>
      </c>
      <c r="E99" s="5"/>
      <c r="F99" s="5" t="s">
        <v>276</v>
      </c>
      <c r="G99" s="5" t="s">
        <v>1824</v>
      </c>
    </row>
    <row r="100" customFormat="false" ht="23.85" hidden="false" customHeight="false" outlineLevel="0" collapsed="false">
      <c r="A100" s="5" t="s">
        <v>1975</v>
      </c>
      <c r="B100" s="5" t="s">
        <v>1976</v>
      </c>
      <c r="C100" s="5" t="n">
        <v>0</v>
      </c>
      <c r="D100" s="5" t="n">
        <v>1</v>
      </c>
      <c r="E100" s="5"/>
      <c r="F100" s="5" t="s">
        <v>276</v>
      </c>
      <c r="G100" s="5" t="s">
        <v>1824</v>
      </c>
    </row>
    <row r="101" customFormat="false" ht="15" hidden="false" customHeight="false" outlineLevel="0" collapsed="false">
      <c r="A101" s="5" t="s">
        <v>1977</v>
      </c>
      <c r="B101" s="5" t="s">
        <v>1211</v>
      </c>
      <c r="C101" s="5" t="n">
        <v>1</v>
      </c>
      <c r="D101" s="5" t="n">
        <v>0</v>
      </c>
      <c r="E101" s="5" t="s">
        <v>276</v>
      </c>
      <c r="F101" s="5"/>
      <c r="G101" s="5" t="s">
        <v>1895</v>
      </c>
    </row>
    <row r="102" customFormat="false" ht="15" hidden="false" customHeight="false" outlineLevel="0" collapsed="false">
      <c r="A102" s="5" t="s">
        <v>1978</v>
      </c>
      <c r="B102" s="5" t="s">
        <v>1204</v>
      </c>
      <c r="C102" s="5" t="n">
        <v>1</v>
      </c>
      <c r="D102" s="5" t="n">
        <v>0</v>
      </c>
      <c r="E102" s="5" t="s">
        <v>180</v>
      </c>
      <c r="F102" s="5"/>
      <c r="G102" s="5" t="s">
        <v>1895</v>
      </c>
    </row>
    <row r="103" customFormat="false" ht="23.85" hidden="false" customHeight="false" outlineLevel="0" collapsed="false">
      <c r="A103" s="5" t="s">
        <v>1979</v>
      </c>
      <c r="B103" s="5" t="s">
        <v>1980</v>
      </c>
      <c r="C103" s="5" t="n">
        <v>0</v>
      </c>
      <c r="D103" s="5" t="n">
        <v>1</v>
      </c>
      <c r="E103" s="5"/>
      <c r="F103" s="5" t="s">
        <v>297</v>
      </c>
      <c r="G103" s="5" t="s">
        <v>1824</v>
      </c>
    </row>
    <row r="104" customFormat="false" ht="23.85" hidden="false" customHeight="false" outlineLevel="0" collapsed="false">
      <c r="A104" s="5" t="s">
        <v>1981</v>
      </c>
      <c r="B104" s="5" t="s">
        <v>1578</v>
      </c>
      <c r="C104" s="5" t="n">
        <v>0</v>
      </c>
      <c r="D104" s="5" t="n">
        <v>1</v>
      </c>
      <c r="E104" s="5"/>
      <c r="F104" s="5" t="s">
        <v>143</v>
      </c>
      <c r="G104" s="5" t="s">
        <v>1824</v>
      </c>
    </row>
    <row r="105" customFormat="false" ht="23.85" hidden="false" customHeight="false" outlineLevel="0" collapsed="false">
      <c r="A105" s="5" t="s">
        <v>1982</v>
      </c>
      <c r="B105" s="5" t="s">
        <v>1666</v>
      </c>
      <c r="C105" s="5" t="n">
        <v>0</v>
      </c>
      <c r="D105" s="5" t="n">
        <v>1</v>
      </c>
      <c r="E105" s="5"/>
      <c r="F105" s="5" t="s">
        <v>1092</v>
      </c>
      <c r="G105" s="5" t="s">
        <v>1824</v>
      </c>
    </row>
    <row r="106" customFormat="false" ht="15" hidden="false" customHeight="false" outlineLevel="0" collapsed="false">
      <c r="A106" s="5" t="s">
        <v>1983</v>
      </c>
      <c r="B106" s="5" t="s">
        <v>1273</v>
      </c>
      <c r="C106" s="5" t="n">
        <v>1</v>
      </c>
      <c r="D106" s="5" t="n">
        <v>0</v>
      </c>
      <c r="E106" s="5" t="s">
        <v>301</v>
      </c>
      <c r="F106" s="5"/>
      <c r="G106" s="5" t="s">
        <v>1895</v>
      </c>
    </row>
    <row r="107" customFormat="false" ht="15" hidden="false" customHeight="false" outlineLevel="0" collapsed="false">
      <c r="A107" s="5" t="s">
        <v>1984</v>
      </c>
      <c r="B107" s="5" t="s">
        <v>1300</v>
      </c>
      <c r="C107" s="5" t="n">
        <v>1</v>
      </c>
      <c r="D107" s="5" t="n">
        <v>0</v>
      </c>
      <c r="E107" s="5" t="s">
        <v>293</v>
      </c>
      <c r="F107" s="5"/>
      <c r="G107" s="5" t="s">
        <v>1895</v>
      </c>
    </row>
    <row r="108" customFormat="false" ht="15" hidden="false" customHeight="false" outlineLevel="0" collapsed="false">
      <c r="A108" s="5" t="s">
        <v>1985</v>
      </c>
      <c r="B108" s="5" t="s">
        <v>1306</v>
      </c>
      <c r="C108" s="5" t="n">
        <v>1</v>
      </c>
      <c r="D108" s="5" t="n">
        <v>0</v>
      </c>
      <c r="E108" s="5" t="s">
        <v>311</v>
      </c>
      <c r="F108" s="5"/>
      <c r="G108" s="5" t="s">
        <v>1895</v>
      </c>
    </row>
    <row r="109" customFormat="false" ht="15" hidden="false" customHeight="false" outlineLevel="0" collapsed="false">
      <c r="A109" s="5" t="s">
        <v>1986</v>
      </c>
      <c r="B109" s="5" t="s">
        <v>1391</v>
      </c>
      <c r="C109" s="5" t="n">
        <v>1</v>
      </c>
      <c r="D109" s="5" t="n">
        <v>0</v>
      </c>
      <c r="E109" s="5" t="s">
        <v>259</v>
      </c>
      <c r="F109" s="5"/>
      <c r="G109" s="5" t="s">
        <v>1895</v>
      </c>
    </row>
    <row r="110" customFormat="false" ht="15" hidden="false" customHeight="false" outlineLevel="0" collapsed="false">
      <c r="A110" s="5" t="s">
        <v>1987</v>
      </c>
      <c r="B110" s="5" t="s">
        <v>1412</v>
      </c>
      <c r="C110" s="5" t="n">
        <v>1</v>
      </c>
      <c r="D110" s="5" t="n">
        <v>0</v>
      </c>
      <c r="E110" s="5" t="s">
        <v>306</v>
      </c>
      <c r="F110" s="5"/>
      <c r="G110" s="5" t="s">
        <v>1895</v>
      </c>
    </row>
    <row r="111" customFormat="false" ht="23.85" hidden="false" customHeight="false" outlineLevel="0" collapsed="false">
      <c r="A111" s="5" t="s">
        <v>1988</v>
      </c>
      <c r="B111" s="5" t="s">
        <v>1989</v>
      </c>
      <c r="C111" s="5" t="n">
        <v>0</v>
      </c>
      <c r="D111" s="5" t="n">
        <v>1</v>
      </c>
      <c r="E111" s="5"/>
      <c r="F111" s="5" t="s">
        <v>306</v>
      </c>
      <c r="G111" s="5" t="s">
        <v>1824</v>
      </c>
    </row>
    <row r="112" customFormat="false" ht="23.85" hidden="false" customHeight="false" outlineLevel="0" collapsed="false">
      <c r="A112" s="5" t="s">
        <v>1990</v>
      </c>
      <c r="B112" s="5" t="s">
        <v>1991</v>
      </c>
      <c r="C112" s="5" t="n">
        <v>0</v>
      </c>
      <c r="D112" s="5" t="n">
        <v>1</v>
      </c>
      <c r="E112" s="5"/>
      <c r="F112" s="5" t="s">
        <v>166</v>
      </c>
      <c r="G112" s="5" t="s">
        <v>1824</v>
      </c>
    </row>
    <row r="113" customFormat="false" ht="23.85" hidden="false" customHeight="false" outlineLevel="0" collapsed="false">
      <c r="A113" s="5" t="s">
        <v>1992</v>
      </c>
      <c r="B113" s="5" t="s">
        <v>1993</v>
      </c>
      <c r="C113" s="5" t="n">
        <v>0</v>
      </c>
      <c r="D113" s="5" t="n">
        <v>1</v>
      </c>
      <c r="E113" s="5"/>
      <c r="F113" s="5" t="s">
        <v>821</v>
      </c>
      <c r="G113" s="5" t="s">
        <v>1824</v>
      </c>
    </row>
  </sheetData>
  <autoFilter ref="A4:G1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34"/>
    <col collapsed="false" customWidth="true" hidden="false" outlineLevel="0" max="4" min="4" style="0" width="18"/>
    <col collapsed="false" customWidth="true" hidden="false" outlineLevel="0" max="5" min="5" style="0" width="22"/>
    <col collapsed="false" customWidth="true" hidden="false" outlineLevel="0" max="6" min="6" style="0" width="32"/>
  </cols>
  <sheetData>
    <row r="1" customFormat="false" ht="17.35" hidden="false" customHeight="false" outlineLevel="0" collapsed="false">
      <c r="A1" s="9" t="s">
        <v>1994</v>
      </c>
    </row>
    <row r="2" customFormat="false" ht="15" hidden="false" customHeight="false" outlineLevel="0" collapsed="false">
      <c r="A2" s="10" t="s">
        <v>1995</v>
      </c>
    </row>
    <row r="4" customFormat="false" ht="30" hidden="false" customHeight="true" outlineLevel="0" collapsed="false">
      <c r="A4" s="12" t="s">
        <v>1996</v>
      </c>
      <c r="B4" s="12" t="s">
        <v>1997</v>
      </c>
      <c r="C4" s="12" t="s">
        <v>1998</v>
      </c>
      <c r="D4" s="12" t="s">
        <v>1999</v>
      </c>
      <c r="E4" s="12" t="s">
        <v>2000</v>
      </c>
      <c r="F4" s="12" t="s">
        <v>2001</v>
      </c>
    </row>
    <row r="5" customFormat="false" ht="15" hidden="false" customHeight="false" outlineLevel="0" collapsed="false">
      <c r="A5" s="5" t="s">
        <v>2002</v>
      </c>
      <c r="B5" s="5" t="s">
        <v>1218</v>
      </c>
      <c r="C5" s="5" t="s">
        <v>281</v>
      </c>
      <c r="D5" s="5"/>
      <c r="E5" s="5" t="s">
        <v>2003</v>
      </c>
      <c r="F5" s="5" t="s">
        <v>2004</v>
      </c>
    </row>
    <row r="6" customFormat="false" ht="15" hidden="false" customHeight="false" outlineLevel="0" collapsed="false">
      <c r="A6" s="5" t="s">
        <v>2005</v>
      </c>
      <c r="B6" s="5" t="s">
        <v>1615</v>
      </c>
      <c r="C6" s="5"/>
      <c r="D6" s="5"/>
      <c r="E6" s="5"/>
      <c r="F6" s="5" t="s">
        <v>2006</v>
      </c>
    </row>
    <row r="7" customFormat="false" ht="23.85" hidden="false" customHeight="false" outlineLevel="0" collapsed="false">
      <c r="A7" s="5" t="s">
        <v>2007</v>
      </c>
      <c r="B7" s="5" t="s">
        <v>1537</v>
      </c>
      <c r="C7" s="5" t="s">
        <v>821</v>
      </c>
      <c r="D7" s="5"/>
      <c r="E7" s="5"/>
      <c r="F7" s="5" t="s">
        <v>2004</v>
      </c>
    </row>
    <row r="8" customFormat="false" ht="15" hidden="false" customHeight="false" outlineLevel="0" collapsed="false">
      <c r="A8" s="5" t="s">
        <v>2008</v>
      </c>
      <c r="B8" s="5" t="s">
        <v>1533</v>
      </c>
      <c r="C8" s="5" t="s">
        <v>821</v>
      </c>
      <c r="D8" s="5"/>
      <c r="E8" s="5"/>
      <c r="F8" s="5" t="s">
        <v>2004</v>
      </c>
    </row>
    <row r="9" customFormat="false" ht="15" hidden="false" customHeight="false" outlineLevel="0" collapsed="false">
      <c r="A9" s="5" t="s">
        <v>2009</v>
      </c>
      <c r="B9" s="5" t="s">
        <v>1535</v>
      </c>
      <c r="C9" s="5" t="s">
        <v>821</v>
      </c>
      <c r="D9" s="5"/>
      <c r="E9" s="5"/>
      <c r="F9" s="5" t="s">
        <v>2004</v>
      </c>
    </row>
    <row r="10" customFormat="false" ht="23.85" hidden="false" customHeight="false" outlineLevel="0" collapsed="false">
      <c r="A10" s="5" t="s">
        <v>2010</v>
      </c>
      <c r="B10" s="5" t="s">
        <v>1738</v>
      </c>
      <c r="C10" s="5" t="s">
        <v>1005</v>
      </c>
      <c r="D10" s="5"/>
      <c r="E10" s="5"/>
      <c r="F10" s="5" t="s">
        <v>2004</v>
      </c>
    </row>
    <row r="11" customFormat="false" ht="15" hidden="false" customHeight="false" outlineLevel="0" collapsed="false">
      <c r="A11" s="5" t="s">
        <v>2011</v>
      </c>
      <c r="B11" s="5" t="s">
        <v>1736</v>
      </c>
      <c r="C11" s="5" t="s">
        <v>1005</v>
      </c>
      <c r="D11" s="5"/>
      <c r="E11" s="5"/>
      <c r="F11" s="5" t="s">
        <v>2004</v>
      </c>
    </row>
    <row r="12" customFormat="false" ht="15" hidden="false" customHeight="false" outlineLevel="0" collapsed="false">
      <c r="A12" s="5" t="s">
        <v>2012</v>
      </c>
      <c r="B12" s="5" t="s">
        <v>1740</v>
      </c>
      <c r="C12" s="5" t="s">
        <v>1005</v>
      </c>
      <c r="D12" s="5"/>
      <c r="E12" s="5"/>
      <c r="F12" s="5" t="s">
        <v>2004</v>
      </c>
    </row>
    <row r="13" customFormat="false" ht="15" hidden="false" customHeight="false" outlineLevel="0" collapsed="false">
      <c r="A13" s="5" t="s">
        <v>2013</v>
      </c>
      <c r="B13" s="5" t="s">
        <v>1449</v>
      </c>
      <c r="C13" s="5" t="s">
        <v>143</v>
      </c>
      <c r="D13" s="5"/>
      <c r="E13" s="5"/>
      <c r="F13" s="5" t="s">
        <v>2004</v>
      </c>
    </row>
    <row r="14" customFormat="false" ht="15" hidden="false" customHeight="false" outlineLevel="0" collapsed="false">
      <c r="A14" s="5" t="s">
        <v>2014</v>
      </c>
      <c r="B14" s="5" t="s">
        <v>1673</v>
      </c>
      <c r="C14" s="5"/>
      <c r="D14" s="5"/>
      <c r="E14" s="5"/>
      <c r="F14" s="5" t="s">
        <v>2006</v>
      </c>
    </row>
    <row r="15" customFormat="false" ht="15" hidden="false" customHeight="false" outlineLevel="0" collapsed="false">
      <c r="A15" s="5" t="s">
        <v>2015</v>
      </c>
      <c r="B15" s="5" t="s">
        <v>1628</v>
      </c>
      <c r="C15" s="5"/>
      <c r="D15" s="5"/>
      <c r="E15" s="5"/>
      <c r="F15" s="5" t="s">
        <v>2006</v>
      </c>
    </row>
    <row r="16" customFormat="false" ht="15" hidden="false" customHeight="false" outlineLevel="0" collapsed="false">
      <c r="A16" s="5" t="s">
        <v>2016</v>
      </c>
      <c r="B16" s="5" t="s">
        <v>1506</v>
      </c>
      <c r="C16" s="5" t="s">
        <v>814</v>
      </c>
      <c r="D16" s="5"/>
      <c r="E16" s="5"/>
      <c r="F16" s="5" t="s">
        <v>2004</v>
      </c>
    </row>
    <row r="17" customFormat="false" ht="15" hidden="false" customHeight="false" outlineLevel="0" collapsed="false">
      <c r="A17" s="5" t="s">
        <v>2017</v>
      </c>
      <c r="B17" s="5" t="s">
        <v>1617</v>
      </c>
      <c r="C17" s="5"/>
      <c r="D17" s="5"/>
      <c r="E17" s="5"/>
      <c r="F17" s="5" t="s">
        <v>2006</v>
      </c>
    </row>
    <row r="18" customFormat="false" ht="15" hidden="false" customHeight="false" outlineLevel="0" collapsed="false">
      <c r="A18" s="5" t="s">
        <v>2018</v>
      </c>
      <c r="B18" s="5" t="s">
        <v>1769</v>
      </c>
      <c r="C18" s="5" t="s">
        <v>1069</v>
      </c>
      <c r="D18" s="5"/>
      <c r="E18" s="5"/>
      <c r="F18" s="5" t="s">
        <v>2004</v>
      </c>
    </row>
    <row r="19" customFormat="false" ht="15" hidden="false" customHeight="false" outlineLevel="0" collapsed="false">
      <c r="A19" s="5" t="s">
        <v>2019</v>
      </c>
      <c r="B19" s="5" t="s">
        <v>2020</v>
      </c>
      <c r="C19" s="5"/>
      <c r="D19" s="5"/>
      <c r="E19" s="5"/>
      <c r="F19" s="5" t="s">
        <v>2006</v>
      </c>
    </row>
    <row r="20" customFormat="false" ht="15" hidden="false" customHeight="false" outlineLevel="0" collapsed="false">
      <c r="A20" s="5" t="s">
        <v>2021</v>
      </c>
      <c r="B20" s="5" t="s">
        <v>2022</v>
      </c>
      <c r="C20" s="5"/>
      <c r="D20" s="5"/>
      <c r="E20" s="5"/>
      <c r="F20" s="5" t="s">
        <v>2006</v>
      </c>
    </row>
    <row r="21" customFormat="false" ht="15" hidden="false" customHeight="false" outlineLevel="0" collapsed="false">
      <c r="A21" s="5" t="s">
        <v>2023</v>
      </c>
      <c r="B21" s="5" t="s">
        <v>1751</v>
      </c>
      <c r="C21" s="5" t="s">
        <v>1026</v>
      </c>
      <c r="D21" s="5"/>
      <c r="E21" s="5"/>
      <c r="F21" s="5" t="s">
        <v>2004</v>
      </c>
    </row>
    <row r="22" customFormat="false" ht="15" hidden="false" customHeight="false" outlineLevel="0" collapsed="false">
      <c r="A22" s="5" t="s">
        <v>2024</v>
      </c>
      <c r="B22" s="5" t="s">
        <v>1668</v>
      </c>
      <c r="C22" s="5"/>
      <c r="D22" s="5"/>
      <c r="E22" s="5"/>
      <c r="F22" s="5" t="s">
        <v>2006</v>
      </c>
    </row>
    <row r="23" customFormat="false" ht="15" hidden="false" customHeight="false" outlineLevel="0" collapsed="false">
      <c r="A23" s="5" t="s">
        <v>2025</v>
      </c>
      <c r="B23" s="5" t="s">
        <v>2026</v>
      </c>
      <c r="C23" s="5"/>
      <c r="D23" s="5"/>
      <c r="E23" s="5"/>
      <c r="F23" s="5" t="s">
        <v>2006</v>
      </c>
    </row>
    <row r="24" customFormat="false" ht="15" hidden="false" customHeight="false" outlineLevel="0" collapsed="false">
      <c r="A24" s="5" t="s">
        <v>2027</v>
      </c>
      <c r="B24" s="5" t="s">
        <v>1302</v>
      </c>
      <c r="C24" s="5" t="s">
        <v>293</v>
      </c>
      <c r="D24" s="5"/>
      <c r="E24" s="5"/>
      <c r="F24" s="5" t="s">
        <v>2004</v>
      </c>
    </row>
    <row r="25" customFormat="false" ht="15" hidden="false" customHeight="false" outlineLevel="0" collapsed="false">
      <c r="A25" s="5" t="s">
        <v>2028</v>
      </c>
      <c r="B25" s="5" t="s">
        <v>1453</v>
      </c>
      <c r="C25" s="5" t="s">
        <v>143</v>
      </c>
      <c r="D25" s="5"/>
      <c r="E25" s="5"/>
      <c r="F25" s="5" t="s">
        <v>2004</v>
      </c>
    </row>
    <row r="26" customFormat="false" ht="15" hidden="false" customHeight="false" outlineLevel="0" collapsed="false">
      <c r="A26" s="5" t="s">
        <v>2029</v>
      </c>
      <c r="B26" s="5" t="s">
        <v>1451</v>
      </c>
      <c r="C26" s="5" t="s">
        <v>143</v>
      </c>
      <c r="D26" s="5"/>
      <c r="E26" s="5"/>
      <c r="F26" s="5" t="s">
        <v>2004</v>
      </c>
    </row>
    <row r="27" customFormat="false" ht="15" hidden="false" customHeight="false" outlineLevel="0" collapsed="false">
      <c r="A27" s="5" t="s">
        <v>2030</v>
      </c>
      <c r="B27" s="5" t="s">
        <v>1148</v>
      </c>
      <c r="C27" s="5" t="s">
        <v>148</v>
      </c>
      <c r="D27" s="5"/>
      <c r="E27" s="5"/>
      <c r="F27" s="5" t="s">
        <v>2004</v>
      </c>
    </row>
    <row r="28" customFormat="false" ht="15" hidden="false" customHeight="false" outlineLevel="0" collapsed="false">
      <c r="A28" s="5" t="s">
        <v>2031</v>
      </c>
      <c r="B28" s="5" t="s">
        <v>1317</v>
      </c>
      <c r="C28" s="5" t="s">
        <v>197</v>
      </c>
      <c r="D28" s="5"/>
      <c r="E28" s="5"/>
      <c r="F28" s="5" t="s">
        <v>2004</v>
      </c>
    </row>
    <row r="29" customFormat="false" ht="15" hidden="false" customHeight="false" outlineLevel="0" collapsed="false">
      <c r="A29" s="5" t="s">
        <v>2032</v>
      </c>
      <c r="B29" s="5" t="s">
        <v>1213</v>
      </c>
      <c r="C29" s="5" t="s">
        <v>276</v>
      </c>
      <c r="D29" s="5"/>
      <c r="E29" s="5"/>
      <c r="F29" s="5" t="s">
        <v>2004</v>
      </c>
    </row>
  </sheetData>
  <autoFilter ref="A4:F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26"/>
    <col collapsed="false" customWidth="true" hidden="false" outlineLevel="0" max="4" min="4" style="0" width="44"/>
    <col collapsed="false" customWidth="true" hidden="false" outlineLevel="0" max="5" min="5" style="0" width="36"/>
  </cols>
  <sheetData>
    <row r="1" customFormat="false" ht="17.35" hidden="false" customHeight="false" outlineLevel="0" collapsed="false">
      <c r="A1" s="9" t="s">
        <v>504</v>
      </c>
    </row>
    <row r="2" customFormat="false" ht="15" hidden="false" customHeight="false" outlineLevel="0" collapsed="false">
      <c r="A2" s="10" t="s">
        <v>2033</v>
      </c>
    </row>
    <row r="4" customFormat="false" ht="30" hidden="false" customHeight="true" outlineLevel="0" collapsed="false">
      <c r="A4" s="12" t="s">
        <v>2034</v>
      </c>
      <c r="B4" s="12" t="s">
        <v>2035</v>
      </c>
      <c r="C4" s="12" t="s">
        <v>2036</v>
      </c>
      <c r="D4" s="12" t="s">
        <v>2037</v>
      </c>
      <c r="E4" s="12" t="s">
        <v>2001</v>
      </c>
    </row>
    <row r="5" customFormat="false" ht="15" hidden="false" customHeight="false" outlineLevel="0" collapsed="false">
      <c r="A5" s="5" t="s">
        <v>2038</v>
      </c>
      <c r="B5" s="5" t="s">
        <v>2039</v>
      </c>
      <c r="C5" s="5" t="s">
        <v>1026</v>
      </c>
      <c r="D5" s="5" t="s">
        <v>1026</v>
      </c>
      <c r="E5" s="5" t="s">
        <v>2040</v>
      </c>
    </row>
    <row r="6" customFormat="false" ht="15" hidden="false" customHeight="false" outlineLevel="0" collapsed="false">
      <c r="A6" s="5" t="s">
        <v>2041</v>
      </c>
      <c r="B6" s="5" t="s">
        <v>1056</v>
      </c>
      <c r="C6" s="5" t="s">
        <v>1051</v>
      </c>
      <c r="D6" s="5" t="s">
        <v>821</v>
      </c>
      <c r="E6" s="5" t="s">
        <v>2040</v>
      </c>
    </row>
    <row r="7" customFormat="false" ht="15" hidden="false" customHeight="false" outlineLevel="0" collapsed="false">
      <c r="A7" s="5" t="s">
        <v>2042</v>
      </c>
      <c r="B7" s="5" t="s">
        <v>2043</v>
      </c>
      <c r="C7" s="5" t="s">
        <v>250</v>
      </c>
      <c r="D7" s="5" t="s">
        <v>832</v>
      </c>
      <c r="E7" s="5" t="s">
        <v>2040</v>
      </c>
    </row>
    <row r="8" customFormat="false" ht="15" hidden="false" customHeight="false" outlineLevel="0" collapsed="false">
      <c r="A8" s="5" t="s">
        <v>2044</v>
      </c>
      <c r="B8" s="5" t="s">
        <v>955</v>
      </c>
      <c r="C8" s="5"/>
      <c r="D8" s="5" t="s">
        <v>2045</v>
      </c>
      <c r="E8" s="5" t="s">
        <v>2040</v>
      </c>
    </row>
    <row r="9" customFormat="false" ht="15" hidden="false" customHeight="false" outlineLevel="0" collapsed="false">
      <c r="A9" s="5" t="s">
        <v>2046</v>
      </c>
      <c r="B9" s="5" t="s">
        <v>2047</v>
      </c>
      <c r="C9" s="5" t="s">
        <v>189</v>
      </c>
      <c r="D9" s="5" t="s">
        <v>2048</v>
      </c>
      <c r="E9" s="5" t="s">
        <v>2040</v>
      </c>
    </row>
  </sheetData>
  <autoFilter ref="A4:E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30"/>
    <col collapsed="false" customWidth="true" hidden="false" outlineLevel="0" max="5" min="4" style="0" width="50"/>
    <col collapsed="false" customWidth="true" hidden="false" outlineLevel="0" max="6" min="6" style="0" width="40"/>
    <col collapsed="false" customWidth="true" hidden="false" outlineLevel="0" max="7" min="7" style="0" width="30"/>
  </cols>
  <sheetData>
    <row r="1" customFormat="false" ht="17.35" hidden="false" customHeight="false" outlineLevel="0" collapsed="false">
      <c r="A1" s="9" t="s">
        <v>2049</v>
      </c>
    </row>
    <row r="2" customFormat="false" ht="15" hidden="false" customHeight="false" outlineLevel="0" collapsed="false">
      <c r="A2" s="10" t="s">
        <v>2050</v>
      </c>
    </row>
    <row r="4" customFormat="false" ht="30" hidden="false" customHeight="true" outlineLevel="0" collapsed="false">
      <c r="A4" s="12" t="s">
        <v>2051</v>
      </c>
      <c r="B4" s="12" t="s">
        <v>1128</v>
      </c>
      <c r="C4" s="12" t="s">
        <v>1810</v>
      </c>
      <c r="D4" s="12" t="s">
        <v>2052</v>
      </c>
      <c r="E4" s="12" t="s">
        <v>2053</v>
      </c>
      <c r="F4" s="12" t="s">
        <v>2001</v>
      </c>
      <c r="G4" s="12" t="s">
        <v>2054</v>
      </c>
    </row>
    <row r="5" customFormat="false" ht="23.85" hidden="false" customHeight="false" outlineLevel="0" collapsed="false">
      <c r="A5" s="5" t="s">
        <v>2055</v>
      </c>
      <c r="B5" s="5" t="s">
        <v>2056</v>
      </c>
      <c r="C5" s="5" t="s">
        <v>1031</v>
      </c>
      <c r="D5" s="5" t="s">
        <v>2057</v>
      </c>
      <c r="E5" s="5"/>
      <c r="F5" s="13" t="s">
        <v>2058</v>
      </c>
      <c r="G5" s="5"/>
    </row>
    <row r="6" customFormat="false" ht="23.85" hidden="false" customHeight="false" outlineLevel="0" collapsed="false">
      <c r="A6" s="5" t="s">
        <v>2059</v>
      </c>
      <c r="B6" s="5" t="s">
        <v>2056</v>
      </c>
      <c r="C6" s="5" t="s">
        <v>2060</v>
      </c>
      <c r="D6" s="5" t="s">
        <v>2061</v>
      </c>
      <c r="E6" s="5"/>
      <c r="F6" s="13" t="s">
        <v>2058</v>
      </c>
      <c r="G6" s="5"/>
    </row>
    <row r="7" customFormat="false" ht="23.85" hidden="false" customHeight="false" outlineLevel="0" collapsed="false">
      <c r="A7" s="5" t="s">
        <v>2062</v>
      </c>
      <c r="B7" s="5" t="s">
        <v>2056</v>
      </c>
      <c r="C7" s="5" t="s">
        <v>2063</v>
      </c>
      <c r="D7" s="5" t="s">
        <v>2064</v>
      </c>
      <c r="E7" s="5"/>
      <c r="F7" s="13" t="s">
        <v>2058</v>
      </c>
      <c r="G7" s="5"/>
    </row>
    <row r="8" customFormat="false" ht="23.85" hidden="false" customHeight="false" outlineLevel="0" collapsed="false">
      <c r="A8" s="5" t="s">
        <v>2065</v>
      </c>
      <c r="B8" s="5" t="s">
        <v>2056</v>
      </c>
      <c r="C8" s="5" t="s">
        <v>647</v>
      </c>
      <c r="D8" s="5" t="s">
        <v>2066</v>
      </c>
      <c r="E8" s="5"/>
      <c r="F8" s="13" t="s">
        <v>2058</v>
      </c>
      <c r="G8" s="5"/>
    </row>
    <row r="9" customFormat="false" ht="23.85" hidden="false" customHeight="false" outlineLevel="0" collapsed="false">
      <c r="A9" s="5" t="s">
        <v>2067</v>
      </c>
      <c r="B9" s="5" t="s">
        <v>2056</v>
      </c>
      <c r="C9" s="5" t="s">
        <v>2068</v>
      </c>
      <c r="D9" s="5" t="s">
        <v>2069</v>
      </c>
      <c r="E9" s="5"/>
      <c r="F9" s="13" t="s">
        <v>2058</v>
      </c>
      <c r="G9" s="5"/>
    </row>
    <row r="10" customFormat="false" ht="23.85" hidden="false" customHeight="false" outlineLevel="0" collapsed="false">
      <c r="A10" s="5" t="s">
        <v>2070</v>
      </c>
      <c r="B10" s="5" t="s">
        <v>2056</v>
      </c>
      <c r="C10" s="5" t="s">
        <v>2071</v>
      </c>
      <c r="D10" s="5" t="s">
        <v>2072</v>
      </c>
      <c r="E10" s="5"/>
      <c r="F10" s="13" t="s">
        <v>2058</v>
      </c>
      <c r="G10" s="5"/>
    </row>
    <row r="11" customFormat="false" ht="23.85" hidden="false" customHeight="false" outlineLevel="0" collapsed="false">
      <c r="A11" s="5" t="s">
        <v>2073</v>
      </c>
      <c r="B11" s="5" t="s">
        <v>2056</v>
      </c>
      <c r="C11" s="5" t="s">
        <v>2074</v>
      </c>
      <c r="D11" s="5" t="s">
        <v>2075</v>
      </c>
      <c r="E11" s="5"/>
      <c r="F11" s="13" t="s">
        <v>2058</v>
      </c>
      <c r="G11" s="5"/>
    </row>
    <row r="12" customFormat="false" ht="23.85" hidden="false" customHeight="false" outlineLevel="0" collapsed="false">
      <c r="A12" s="5" t="s">
        <v>2076</v>
      </c>
      <c r="B12" s="5" t="s">
        <v>2056</v>
      </c>
      <c r="C12" s="5" t="s">
        <v>2077</v>
      </c>
      <c r="D12" s="5" t="s">
        <v>2078</v>
      </c>
      <c r="E12" s="5"/>
      <c r="F12" s="13" t="s">
        <v>2058</v>
      </c>
      <c r="G12" s="5"/>
    </row>
    <row r="13" customFormat="false" ht="23.85" hidden="false" customHeight="false" outlineLevel="0" collapsed="false">
      <c r="A13" s="5" t="s">
        <v>2079</v>
      </c>
      <c r="B13" s="5" t="s">
        <v>2056</v>
      </c>
      <c r="C13" s="5" t="s">
        <v>2080</v>
      </c>
      <c r="D13" s="5" t="s">
        <v>2081</v>
      </c>
      <c r="E13" s="5"/>
      <c r="F13" s="13" t="s">
        <v>2058</v>
      </c>
      <c r="G13" s="5"/>
    </row>
    <row r="14" customFormat="false" ht="23.85" hidden="false" customHeight="false" outlineLevel="0" collapsed="false">
      <c r="A14" s="5" t="s">
        <v>2082</v>
      </c>
      <c r="B14" s="5" t="s">
        <v>2056</v>
      </c>
      <c r="C14" s="5" t="s">
        <v>2083</v>
      </c>
      <c r="D14" s="5" t="s">
        <v>2084</v>
      </c>
      <c r="E14" s="5"/>
      <c r="F14" s="13" t="s">
        <v>2058</v>
      </c>
      <c r="G14" s="5"/>
    </row>
    <row r="15" customFormat="false" ht="23.85" hidden="false" customHeight="false" outlineLevel="0" collapsed="false">
      <c r="A15" s="5" t="s">
        <v>2085</v>
      </c>
      <c r="B15" s="5" t="s">
        <v>2056</v>
      </c>
      <c r="C15" s="5" t="s">
        <v>820</v>
      </c>
      <c r="D15" s="5" t="s">
        <v>2086</v>
      </c>
      <c r="E15" s="5"/>
      <c r="F15" s="13" t="s">
        <v>2058</v>
      </c>
      <c r="G15" s="5"/>
    </row>
    <row r="16" customFormat="false" ht="23.85" hidden="false" customHeight="false" outlineLevel="0" collapsed="false">
      <c r="A16" s="5" t="s">
        <v>2087</v>
      </c>
      <c r="B16" s="5" t="s">
        <v>2056</v>
      </c>
      <c r="C16" s="5" t="s">
        <v>521</v>
      </c>
      <c r="D16" s="5" t="s">
        <v>2088</v>
      </c>
      <c r="E16" s="5"/>
      <c r="F16" s="13" t="s">
        <v>2058</v>
      </c>
      <c r="G16" s="5"/>
    </row>
    <row r="17" customFormat="false" ht="23.85" hidden="false" customHeight="false" outlineLevel="0" collapsed="false">
      <c r="A17" s="5" t="s">
        <v>2089</v>
      </c>
      <c r="B17" s="5" t="s">
        <v>2056</v>
      </c>
      <c r="C17" s="5" t="s">
        <v>666</v>
      </c>
      <c r="D17" s="5" t="s">
        <v>2090</v>
      </c>
      <c r="E17" s="5"/>
      <c r="F17" s="13" t="s">
        <v>2058</v>
      </c>
      <c r="G17" s="5"/>
    </row>
    <row r="18" customFormat="false" ht="23.85" hidden="false" customHeight="false" outlineLevel="0" collapsed="false">
      <c r="A18" s="5" t="s">
        <v>2091</v>
      </c>
      <c r="B18" s="5" t="s">
        <v>2056</v>
      </c>
      <c r="C18" s="5" t="s">
        <v>580</v>
      </c>
      <c r="D18" s="5" t="s">
        <v>2092</v>
      </c>
      <c r="E18" s="5"/>
      <c r="F18" s="13" t="s">
        <v>2058</v>
      </c>
      <c r="G18" s="5"/>
    </row>
    <row r="19" customFormat="false" ht="23.85" hidden="false" customHeight="false" outlineLevel="0" collapsed="false">
      <c r="A19" s="5" t="s">
        <v>2093</v>
      </c>
      <c r="B19" s="5" t="s">
        <v>2056</v>
      </c>
      <c r="C19" s="5" t="s">
        <v>1075</v>
      </c>
      <c r="D19" s="5" t="s">
        <v>2094</v>
      </c>
      <c r="E19" s="5"/>
      <c r="F19" s="13" t="s">
        <v>2058</v>
      </c>
      <c r="G19" s="5"/>
    </row>
    <row r="20" customFormat="false" ht="23.85" hidden="false" customHeight="false" outlineLevel="0" collapsed="false">
      <c r="A20" s="5" t="s">
        <v>2095</v>
      </c>
      <c r="B20" s="5" t="s">
        <v>2056</v>
      </c>
      <c r="C20" s="5" t="s">
        <v>587</v>
      </c>
      <c r="D20" s="5" t="s">
        <v>2096</v>
      </c>
      <c r="E20" s="5"/>
      <c r="F20" s="13" t="s">
        <v>2058</v>
      </c>
      <c r="G20" s="5"/>
    </row>
    <row r="21" customFormat="false" ht="23.85" hidden="false" customHeight="false" outlineLevel="0" collapsed="false">
      <c r="A21" s="5" t="s">
        <v>2097</v>
      </c>
      <c r="B21" s="5" t="s">
        <v>2056</v>
      </c>
      <c r="C21" s="5" t="s">
        <v>2098</v>
      </c>
      <c r="D21" s="5" t="s">
        <v>2099</v>
      </c>
      <c r="E21" s="5"/>
      <c r="F21" s="13" t="s">
        <v>2058</v>
      </c>
      <c r="G21" s="5"/>
    </row>
    <row r="22" customFormat="false" ht="15" hidden="false" customHeight="false" outlineLevel="0" collapsed="false">
      <c r="A22" s="5" t="s">
        <v>2100</v>
      </c>
      <c r="B22" s="5" t="s">
        <v>2101</v>
      </c>
      <c r="C22" s="5" t="s">
        <v>2102</v>
      </c>
      <c r="D22" s="5" t="s">
        <v>2103</v>
      </c>
      <c r="E22" s="5"/>
      <c r="F22" s="13" t="s">
        <v>2104</v>
      </c>
      <c r="G22" s="5"/>
    </row>
    <row r="23" customFormat="false" ht="15" hidden="false" customHeight="false" outlineLevel="0" collapsed="false">
      <c r="A23" s="5" t="s">
        <v>2105</v>
      </c>
      <c r="B23" s="5" t="s">
        <v>2106</v>
      </c>
      <c r="C23" s="5" t="s">
        <v>2107</v>
      </c>
      <c r="D23" s="5" t="s">
        <v>2108</v>
      </c>
      <c r="E23" s="5"/>
      <c r="F23" s="13" t="s">
        <v>2109</v>
      </c>
      <c r="G23" s="5"/>
    </row>
    <row r="24" customFormat="false" ht="15" hidden="false" customHeight="false" outlineLevel="0" collapsed="false">
      <c r="A24" s="5" t="s">
        <v>2110</v>
      </c>
      <c r="B24" s="5" t="s">
        <v>2106</v>
      </c>
      <c r="C24" s="5" t="s">
        <v>2111</v>
      </c>
      <c r="D24" s="5" t="s">
        <v>2112</v>
      </c>
      <c r="E24" s="5"/>
      <c r="F24" s="13" t="s">
        <v>2109</v>
      </c>
      <c r="G24" s="5"/>
    </row>
    <row r="25" customFormat="false" ht="23.85" hidden="false" customHeight="false" outlineLevel="0" collapsed="false">
      <c r="A25" s="5" t="s">
        <v>2113</v>
      </c>
      <c r="B25" s="5" t="s">
        <v>2106</v>
      </c>
      <c r="C25" s="5" t="s">
        <v>2114</v>
      </c>
      <c r="D25" s="5" t="s">
        <v>2115</v>
      </c>
      <c r="E25" s="5"/>
      <c r="F25" s="13" t="s">
        <v>2109</v>
      </c>
      <c r="G25" s="5"/>
    </row>
    <row r="26" customFormat="false" ht="15" hidden="false" customHeight="false" outlineLevel="0" collapsed="false">
      <c r="A26" s="5" t="s">
        <v>2116</v>
      </c>
      <c r="B26" s="5" t="s">
        <v>2106</v>
      </c>
      <c r="C26" s="5" t="s">
        <v>2117</v>
      </c>
      <c r="D26" s="5" t="s">
        <v>2118</v>
      </c>
      <c r="E26" s="5"/>
      <c r="F26" s="13" t="s">
        <v>2109</v>
      </c>
      <c r="G26" s="5"/>
    </row>
    <row r="27" customFormat="false" ht="15" hidden="false" customHeight="false" outlineLevel="0" collapsed="false">
      <c r="A27" s="5" t="s">
        <v>2119</v>
      </c>
      <c r="B27" s="5" t="s">
        <v>2106</v>
      </c>
      <c r="C27" s="5" t="s">
        <v>2120</v>
      </c>
      <c r="D27" s="5" t="s">
        <v>2121</v>
      </c>
      <c r="E27" s="5"/>
      <c r="F27" s="13" t="s">
        <v>2109</v>
      </c>
      <c r="G27" s="5"/>
    </row>
    <row r="28" customFormat="false" ht="15" hidden="false" customHeight="false" outlineLevel="0" collapsed="false">
      <c r="A28" s="5" t="s">
        <v>2122</v>
      </c>
      <c r="B28" s="5" t="s">
        <v>2106</v>
      </c>
      <c r="C28" s="5" t="s">
        <v>2123</v>
      </c>
      <c r="D28" s="5" t="s">
        <v>2124</v>
      </c>
      <c r="E28" s="5"/>
      <c r="F28" s="13" t="s">
        <v>2109</v>
      </c>
      <c r="G28" s="5"/>
    </row>
    <row r="29" customFormat="false" ht="15" hidden="false" customHeight="false" outlineLevel="0" collapsed="false">
      <c r="A29" s="5" t="s">
        <v>2125</v>
      </c>
      <c r="B29" s="5" t="s">
        <v>2106</v>
      </c>
      <c r="C29" s="5" t="s">
        <v>2126</v>
      </c>
      <c r="D29" s="5" t="s">
        <v>2127</v>
      </c>
      <c r="E29" s="5"/>
      <c r="F29" s="13" t="s">
        <v>2109</v>
      </c>
      <c r="G29" s="5"/>
    </row>
    <row r="30" customFormat="false" ht="35.05" hidden="false" customHeight="false" outlineLevel="0" collapsed="false">
      <c r="A30" s="5" t="s">
        <v>2128</v>
      </c>
      <c r="B30" s="5" t="s">
        <v>2129</v>
      </c>
      <c r="C30" s="5" t="s">
        <v>955</v>
      </c>
      <c r="D30" s="5" t="s">
        <v>2130</v>
      </c>
      <c r="E30" s="5"/>
      <c r="F30" s="13" t="s">
        <v>2104</v>
      </c>
      <c r="G30" s="5"/>
    </row>
    <row r="31" customFormat="false" ht="23.85" hidden="false" customHeight="false" outlineLevel="0" collapsed="false">
      <c r="A31" s="5" t="s">
        <v>2131</v>
      </c>
      <c r="B31" s="5" t="s">
        <v>2132</v>
      </c>
      <c r="C31" s="5" t="s">
        <v>2133</v>
      </c>
      <c r="D31" s="5" t="s">
        <v>2134</v>
      </c>
      <c r="E31" s="5"/>
      <c r="F31" s="13" t="s">
        <v>2104</v>
      </c>
      <c r="G31" s="5" t="s">
        <v>2135</v>
      </c>
    </row>
    <row r="32" customFormat="false" ht="23.85" hidden="false" customHeight="false" outlineLevel="0" collapsed="false">
      <c r="A32" s="5" t="s">
        <v>2136</v>
      </c>
      <c r="B32" s="5" t="s">
        <v>2132</v>
      </c>
      <c r="C32" s="5" t="s">
        <v>2137</v>
      </c>
      <c r="D32" s="5" t="s">
        <v>2138</v>
      </c>
      <c r="E32" s="5"/>
      <c r="F32" s="13" t="s">
        <v>2104</v>
      </c>
      <c r="G32" s="5" t="s">
        <v>2135</v>
      </c>
    </row>
    <row r="33" customFormat="false" ht="23.85" hidden="false" customHeight="false" outlineLevel="0" collapsed="false">
      <c r="A33" s="5" t="s">
        <v>2139</v>
      </c>
      <c r="B33" s="5" t="s">
        <v>2132</v>
      </c>
      <c r="C33" s="5" t="s">
        <v>2140</v>
      </c>
      <c r="D33" s="5" t="s">
        <v>2141</v>
      </c>
      <c r="E33" s="5"/>
      <c r="F33" s="13" t="s">
        <v>2104</v>
      </c>
      <c r="G33" s="5" t="s">
        <v>2135</v>
      </c>
    </row>
    <row r="34" customFormat="false" ht="23.85" hidden="false" customHeight="false" outlineLevel="0" collapsed="false">
      <c r="A34" s="5" t="s">
        <v>2142</v>
      </c>
      <c r="B34" s="5" t="s">
        <v>2132</v>
      </c>
      <c r="C34" s="5" t="s">
        <v>2143</v>
      </c>
      <c r="D34" s="5" t="s">
        <v>2144</v>
      </c>
      <c r="E34" s="5"/>
      <c r="F34" s="13" t="s">
        <v>2104</v>
      </c>
      <c r="G34" s="5" t="s">
        <v>2135</v>
      </c>
    </row>
    <row r="35" customFormat="false" ht="23.85" hidden="false" customHeight="false" outlineLevel="0" collapsed="false">
      <c r="A35" s="5" t="s">
        <v>2145</v>
      </c>
      <c r="B35" s="5" t="s">
        <v>2132</v>
      </c>
      <c r="C35" s="5" t="s">
        <v>2146</v>
      </c>
      <c r="D35" s="5" t="s">
        <v>2147</v>
      </c>
      <c r="E35" s="5"/>
      <c r="F35" s="13" t="s">
        <v>2104</v>
      </c>
      <c r="G35" s="5" t="s">
        <v>2135</v>
      </c>
    </row>
    <row r="36" customFormat="false" ht="23.85" hidden="false" customHeight="false" outlineLevel="0" collapsed="false">
      <c r="A36" s="5" t="s">
        <v>2148</v>
      </c>
      <c r="B36" s="5" t="s">
        <v>2132</v>
      </c>
      <c r="C36" s="5" t="s">
        <v>2149</v>
      </c>
      <c r="D36" s="5" t="s">
        <v>2150</v>
      </c>
      <c r="E36" s="5"/>
      <c r="F36" s="13" t="s">
        <v>2104</v>
      </c>
      <c r="G36" s="5" t="s">
        <v>2135</v>
      </c>
    </row>
    <row r="37" customFormat="false" ht="23.85" hidden="false" customHeight="false" outlineLevel="0" collapsed="false">
      <c r="A37" s="5" t="s">
        <v>2151</v>
      </c>
      <c r="B37" s="5" t="s">
        <v>2132</v>
      </c>
      <c r="C37" s="5" t="s">
        <v>2152</v>
      </c>
      <c r="D37" s="5" t="s">
        <v>2153</v>
      </c>
      <c r="E37" s="5"/>
      <c r="F37" s="13" t="s">
        <v>2104</v>
      </c>
      <c r="G37" s="5" t="s">
        <v>2135</v>
      </c>
    </row>
    <row r="38" customFormat="false" ht="23.85" hidden="false" customHeight="false" outlineLevel="0" collapsed="false">
      <c r="A38" s="5" t="s">
        <v>2154</v>
      </c>
      <c r="B38" s="5" t="s">
        <v>2132</v>
      </c>
      <c r="C38" s="5" t="s">
        <v>2155</v>
      </c>
      <c r="D38" s="5" t="s">
        <v>2156</v>
      </c>
      <c r="E38" s="5"/>
      <c r="F38" s="13" t="s">
        <v>2104</v>
      </c>
      <c r="G38" s="5" t="s">
        <v>2135</v>
      </c>
    </row>
    <row r="39" customFormat="false" ht="23.85" hidden="false" customHeight="false" outlineLevel="0" collapsed="false">
      <c r="A39" s="5" t="s">
        <v>2157</v>
      </c>
      <c r="B39" s="5" t="s">
        <v>2132</v>
      </c>
      <c r="C39" s="5" t="s">
        <v>2158</v>
      </c>
      <c r="D39" s="5" t="s">
        <v>2159</v>
      </c>
      <c r="E39" s="5"/>
      <c r="F39" s="13" t="s">
        <v>2104</v>
      </c>
      <c r="G39" s="5" t="s">
        <v>2135</v>
      </c>
    </row>
    <row r="40" customFormat="false" ht="35.05" hidden="false" customHeight="false" outlineLevel="0" collapsed="false">
      <c r="A40" s="5" t="s">
        <v>2160</v>
      </c>
      <c r="B40" s="5" t="s">
        <v>2132</v>
      </c>
      <c r="C40" s="5" t="s">
        <v>2161</v>
      </c>
      <c r="D40" s="5" t="s">
        <v>2162</v>
      </c>
      <c r="E40" s="5"/>
      <c r="F40" s="13" t="s">
        <v>2104</v>
      </c>
      <c r="G40" s="5" t="s">
        <v>2135</v>
      </c>
    </row>
    <row r="41" customFormat="false" ht="23.85" hidden="false" customHeight="false" outlineLevel="0" collapsed="false">
      <c r="A41" s="5" t="s">
        <v>2163</v>
      </c>
      <c r="B41" s="5" t="s">
        <v>2132</v>
      </c>
      <c r="C41" s="5" t="s">
        <v>2164</v>
      </c>
      <c r="D41" s="5" t="s">
        <v>2165</v>
      </c>
      <c r="E41" s="5"/>
      <c r="F41" s="13" t="s">
        <v>2104</v>
      </c>
      <c r="G41" s="5" t="s">
        <v>2135</v>
      </c>
    </row>
    <row r="42" customFormat="false" ht="23.85" hidden="false" customHeight="false" outlineLevel="0" collapsed="false">
      <c r="A42" s="5" t="s">
        <v>2166</v>
      </c>
      <c r="B42" s="5" t="s">
        <v>2132</v>
      </c>
      <c r="C42" s="5" t="s">
        <v>2167</v>
      </c>
      <c r="D42" s="5" t="s">
        <v>2168</v>
      </c>
      <c r="E42" s="5"/>
      <c r="F42" s="13" t="s">
        <v>2104</v>
      </c>
      <c r="G42" s="5" t="s">
        <v>2135</v>
      </c>
    </row>
    <row r="43" customFormat="false" ht="23.85" hidden="false" customHeight="false" outlineLevel="0" collapsed="false">
      <c r="A43" s="5" t="s">
        <v>2169</v>
      </c>
      <c r="B43" s="5" t="s">
        <v>2132</v>
      </c>
      <c r="C43" s="5" t="s">
        <v>2170</v>
      </c>
      <c r="D43" s="5" t="s">
        <v>2171</v>
      </c>
      <c r="E43" s="5"/>
      <c r="F43" s="13" t="s">
        <v>2104</v>
      </c>
      <c r="G43" s="5" t="s">
        <v>2135</v>
      </c>
    </row>
    <row r="44" customFormat="false" ht="15" hidden="false" customHeight="false" outlineLevel="0" collapsed="false">
      <c r="A44" s="5" t="s">
        <v>2172</v>
      </c>
      <c r="B44" s="5" t="s">
        <v>2173</v>
      </c>
      <c r="C44" s="5" t="s">
        <v>2174</v>
      </c>
      <c r="D44" s="5" t="s">
        <v>2175</v>
      </c>
      <c r="E44" s="5"/>
      <c r="F44" s="13" t="s">
        <v>2176</v>
      </c>
      <c r="G44" s="5"/>
    </row>
    <row r="45" customFormat="false" ht="15" hidden="false" customHeight="false" outlineLevel="0" collapsed="false">
      <c r="A45" s="5" t="s">
        <v>2177</v>
      </c>
      <c r="B45" s="5" t="s">
        <v>2173</v>
      </c>
      <c r="C45" s="5" t="s">
        <v>2178</v>
      </c>
      <c r="D45" s="5" t="s">
        <v>2179</v>
      </c>
      <c r="E45" s="5"/>
      <c r="F45" s="13" t="s">
        <v>2176</v>
      </c>
      <c r="G45" s="5"/>
    </row>
    <row r="46" customFormat="false" ht="15" hidden="false" customHeight="false" outlineLevel="0" collapsed="false">
      <c r="A46" s="5" t="s">
        <v>2180</v>
      </c>
      <c r="B46" s="5" t="s">
        <v>2173</v>
      </c>
      <c r="C46" s="5" t="s">
        <v>2181</v>
      </c>
      <c r="D46" s="5" t="s">
        <v>2182</v>
      </c>
      <c r="E46" s="5"/>
      <c r="F46" s="13" t="s">
        <v>2176</v>
      </c>
      <c r="G46" s="5"/>
    </row>
    <row r="47" customFormat="false" ht="15" hidden="false" customHeight="false" outlineLevel="0" collapsed="false">
      <c r="A47" s="5" t="s">
        <v>2183</v>
      </c>
      <c r="B47" s="5" t="s">
        <v>2173</v>
      </c>
      <c r="C47" s="5" t="s">
        <v>2184</v>
      </c>
      <c r="D47" s="5" t="s">
        <v>2185</v>
      </c>
      <c r="E47" s="5"/>
      <c r="F47" s="13" t="s">
        <v>2176</v>
      </c>
      <c r="G47" s="5"/>
    </row>
    <row r="48" customFormat="false" ht="15" hidden="false" customHeight="false" outlineLevel="0" collapsed="false">
      <c r="A48" s="5" t="s">
        <v>2186</v>
      </c>
      <c r="B48" s="5" t="s">
        <v>2106</v>
      </c>
      <c r="C48" s="5" t="s">
        <v>2187</v>
      </c>
      <c r="D48" s="5" t="s">
        <v>2188</v>
      </c>
      <c r="E48" s="5" t="s">
        <v>2189</v>
      </c>
      <c r="F48" s="5" t="s">
        <v>2190</v>
      </c>
      <c r="G48" s="5"/>
    </row>
    <row r="49" customFormat="false" ht="15" hidden="false" customHeight="false" outlineLevel="0" collapsed="false">
      <c r="A49" s="5" t="s">
        <v>2191</v>
      </c>
      <c r="B49" s="5" t="s">
        <v>2106</v>
      </c>
      <c r="C49" s="5" t="s">
        <v>2192</v>
      </c>
      <c r="D49" s="5" t="s">
        <v>2193</v>
      </c>
      <c r="E49" s="5" t="s">
        <v>2194</v>
      </c>
      <c r="F49" s="5" t="s">
        <v>2190</v>
      </c>
      <c r="G49" s="5"/>
    </row>
    <row r="50" customFormat="false" ht="15" hidden="false" customHeight="false" outlineLevel="0" collapsed="false">
      <c r="A50" s="5" t="s">
        <v>2195</v>
      </c>
      <c r="B50" s="5" t="s">
        <v>2106</v>
      </c>
      <c r="C50" s="5" t="s">
        <v>2196</v>
      </c>
      <c r="D50" s="5" t="s">
        <v>2197</v>
      </c>
      <c r="E50" s="5" t="s">
        <v>2198</v>
      </c>
      <c r="F50" s="5" t="s">
        <v>2190</v>
      </c>
      <c r="G50" s="5"/>
    </row>
    <row r="51" customFormat="false" ht="57.45" hidden="false" customHeight="false" outlineLevel="0" collapsed="false">
      <c r="A51" s="5" t="s">
        <v>2199</v>
      </c>
      <c r="B51" s="5" t="s">
        <v>2106</v>
      </c>
      <c r="C51" s="5" t="s">
        <v>2200</v>
      </c>
      <c r="D51" s="5" t="s">
        <v>2201</v>
      </c>
      <c r="E51" s="5" t="s">
        <v>2202</v>
      </c>
      <c r="F51" s="5" t="s">
        <v>2190</v>
      </c>
      <c r="G51" s="5"/>
    </row>
    <row r="52" customFormat="false" ht="15" hidden="false" customHeight="false" outlineLevel="0" collapsed="false">
      <c r="A52" s="5" t="s">
        <v>2203</v>
      </c>
      <c r="B52" s="5" t="s">
        <v>2106</v>
      </c>
      <c r="C52" s="5" t="s">
        <v>2204</v>
      </c>
      <c r="D52" s="5" t="s">
        <v>2205</v>
      </c>
      <c r="E52" s="5" t="s">
        <v>2206</v>
      </c>
      <c r="F52" s="5" t="s">
        <v>2190</v>
      </c>
      <c r="G52" s="5"/>
    </row>
    <row r="53" customFormat="false" ht="15" hidden="false" customHeight="false" outlineLevel="0" collapsed="false">
      <c r="A53" s="5" t="s">
        <v>2207</v>
      </c>
      <c r="B53" s="5" t="s">
        <v>2106</v>
      </c>
      <c r="C53" s="5" t="s">
        <v>2208</v>
      </c>
      <c r="D53" s="5" t="s">
        <v>2209</v>
      </c>
      <c r="E53" s="5" t="s">
        <v>2210</v>
      </c>
      <c r="F53" s="5" t="s">
        <v>2190</v>
      </c>
      <c r="G53" s="5"/>
    </row>
    <row r="54" customFormat="false" ht="15" hidden="false" customHeight="false" outlineLevel="0" collapsed="false">
      <c r="A54" s="5" t="s">
        <v>2211</v>
      </c>
      <c r="B54" s="5" t="s">
        <v>2106</v>
      </c>
      <c r="C54" s="5" t="s">
        <v>2212</v>
      </c>
      <c r="D54" s="5" t="s">
        <v>2213</v>
      </c>
      <c r="E54" s="5" t="s">
        <v>2214</v>
      </c>
      <c r="F54" s="5" t="s">
        <v>2190</v>
      </c>
      <c r="G54" s="5"/>
    </row>
    <row r="55" customFormat="false" ht="15" hidden="false" customHeight="false" outlineLevel="0" collapsed="false">
      <c r="A55" s="5" t="s">
        <v>2215</v>
      </c>
      <c r="B55" s="5" t="s">
        <v>2106</v>
      </c>
      <c r="C55" s="5" t="s">
        <v>2216</v>
      </c>
      <c r="D55" s="5" t="s">
        <v>2217</v>
      </c>
      <c r="E55" s="5" t="s">
        <v>2218</v>
      </c>
      <c r="F55" s="5" t="s">
        <v>2190</v>
      </c>
      <c r="G55" s="5"/>
    </row>
    <row r="56" customFormat="false" ht="35.05" hidden="false" customHeight="false" outlineLevel="0" collapsed="false">
      <c r="A56" s="5" t="s">
        <v>2219</v>
      </c>
      <c r="B56" s="5" t="s">
        <v>2106</v>
      </c>
      <c r="C56" s="5" t="s">
        <v>2220</v>
      </c>
      <c r="D56" s="5" t="s">
        <v>2221</v>
      </c>
      <c r="E56" s="5" t="s">
        <v>2222</v>
      </c>
      <c r="F56" s="5" t="s">
        <v>2190</v>
      </c>
      <c r="G56" s="5"/>
    </row>
    <row r="57" customFormat="false" ht="15" hidden="false" customHeight="false" outlineLevel="0" collapsed="false">
      <c r="A57" s="5" t="s">
        <v>2223</v>
      </c>
      <c r="B57" s="5" t="s">
        <v>2106</v>
      </c>
      <c r="C57" s="5" t="s">
        <v>2224</v>
      </c>
      <c r="D57" s="5" t="s">
        <v>2225</v>
      </c>
      <c r="E57" s="5" t="s">
        <v>2226</v>
      </c>
      <c r="F57" s="5" t="s">
        <v>2190</v>
      </c>
      <c r="G57" s="5"/>
    </row>
    <row r="58" customFormat="false" ht="15" hidden="false" customHeight="false" outlineLevel="0" collapsed="false">
      <c r="A58" s="5" t="s">
        <v>2227</v>
      </c>
      <c r="B58" s="5" t="s">
        <v>2106</v>
      </c>
      <c r="C58" s="5" t="s">
        <v>2228</v>
      </c>
      <c r="D58" s="5" t="s">
        <v>2229</v>
      </c>
      <c r="E58" s="5" t="s">
        <v>2230</v>
      </c>
      <c r="F58" s="5" t="s">
        <v>2190</v>
      </c>
      <c r="G58" s="5"/>
    </row>
    <row r="59" customFormat="false" ht="169.4" hidden="false" customHeight="false" outlineLevel="0" collapsed="false">
      <c r="A59" s="5" t="s">
        <v>2231</v>
      </c>
      <c r="B59" s="5" t="s">
        <v>2106</v>
      </c>
      <c r="C59" s="5" t="s">
        <v>2232</v>
      </c>
      <c r="D59" s="5" t="s">
        <v>2233</v>
      </c>
      <c r="E59" s="5" t="s">
        <v>2234</v>
      </c>
      <c r="F59" s="5" t="s">
        <v>2190</v>
      </c>
      <c r="G59" s="5"/>
    </row>
    <row r="60" customFormat="false" ht="15" hidden="false" customHeight="false" outlineLevel="0" collapsed="false">
      <c r="A60" s="5" t="s">
        <v>2235</v>
      </c>
      <c r="B60" s="5" t="s">
        <v>2106</v>
      </c>
      <c r="C60" s="5" t="s">
        <v>2236</v>
      </c>
      <c r="D60" s="5" t="s">
        <v>2237</v>
      </c>
      <c r="E60" s="5" t="s">
        <v>2238</v>
      </c>
      <c r="F60" s="5" t="s">
        <v>2190</v>
      </c>
      <c r="G60" s="5"/>
    </row>
    <row r="61" customFormat="false" ht="23.85" hidden="false" customHeight="false" outlineLevel="0" collapsed="false">
      <c r="A61" s="5" t="s">
        <v>2239</v>
      </c>
      <c r="B61" s="5" t="s">
        <v>2106</v>
      </c>
      <c r="C61" s="5" t="s">
        <v>2240</v>
      </c>
      <c r="D61" s="5" t="s">
        <v>2241</v>
      </c>
      <c r="E61" s="5" t="s">
        <v>2242</v>
      </c>
      <c r="F61" s="5" t="s">
        <v>2190</v>
      </c>
      <c r="G61" s="5"/>
    </row>
    <row r="62" customFormat="false" ht="15" hidden="false" customHeight="false" outlineLevel="0" collapsed="false">
      <c r="A62" s="5" t="s">
        <v>2243</v>
      </c>
      <c r="B62" s="5" t="s">
        <v>2106</v>
      </c>
      <c r="C62" s="5" t="s">
        <v>2244</v>
      </c>
      <c r="D62" s="5" t="s">
        <v>2245</v>
      </c>
      <c r="E62" s="5" t="s">
        <v>2246</v>
      </c>
      <c r="F62" s="5" t="s">
        <v>2190</v>
      </c>
      <c r="G62" s="5"/>
    </row>
    <row r="63" customFormat="false" ht="15" hidden="false" customHeight="false" outlineLevel="0" collapsed="false">
      <c r="A63" s="5" t="s">
        <v>2247</v>
      </c>
      <c r="B63" s="5" t="s">
        <v>2106</v>
      </c>
      <c r="C63" s="5" t="s">
        <v>2248</v>
      </c>
      <c r="D63" s="5" t="s">
        <v>2249</v>
      </c>
      <c r="E63" s="5" t="s">
        <v>2250</v>
      </c>
      <c r="F63" s="5" t="s">
        <v>2190</v>
      </c>
      <c r="G63" s="5"/>
    </row>
    <row r="64" customFormat="false" ht="15" hidden="false" customHeight="false" outlineLevel="0" collapsed="false">
      <c r="A64" s="5" t="s">
        <v>2251</v>
      </c>
      <c r="B64" s="5" t="s">
        <v>2106</v>
      </c>
      <c r="C64" s="5" t="s">
        <v>2252</v>
      </c>
      <c r="D64" s="5" t="s">
        <v>2253</v>
      </c>
      <c r="E64" s="5" t="s">
        <v>2254</v>
      </c>
      <c r="F64" s="5" t="s">
        <v>2190</v>
      </c>
      <c r="G64" s="5"/>
    </row>
    <row r="65" customFormat="false" ht="15" hidden="false" customHeight="false" outlineLevel="0" collapsed="false">
      <c r="A65" s="5" t="s">
        <v>2255</v>
      </c>
      <c r="B65" s="5" t="s">
        <v>2106</v>
      </c>
      <c r="C65" s="5" t="s">
        <v>2256</v>
      </c>
      <c r="D65" s="5" t="s">
        <v>2257</v>
      </c>
      <c r="E65" s="5" t="s">
        <v>2258</v>
      </c>
      <c r="F65" s="5" t="s">
        <v>2190</v>
      </c>
      <c r="G65" s="5"/>
    </row>
    <row r="66" customFormat="false" ht="23.85" hidden="false" customHeight="false" outlineLevel="0" collapsed="false">
      <c r="A66" s="5" t="s">
        <v>2259</v>
      </c>
      <c r="B66" s="5" t="s">
        <v>2106</v>
      </c>
      <c r="C66" s="5" t="s">
        <v>2260</v>
      </c>
      <c r="D66" s="5" t="s">
        <v>2261</v>
      </c>
      <c r="E66" s="5" t="s">
        <v>2262</v>
      </c>
      <c r="F66" s="5" t="s">
        <v>2190</v>
      </c>
      <c r="G66" s="5"/>
    </row>
    <row r="67" customFormat="false" ht="79.85" hidden="false" customHeight="false" outlineLevel="0" collapsed="false">
      <c r="A67" s="5" t="s">
        <v>2263</v>
      </c>
      <c r="B67" s="5" t="s">
        <v>2106</v>
      </c>
      <c r="C67" s="5" t="s">
        <v>2264</v>
      </c>
      <c r="D67" s="5" t="s">
        <v>2265</v>
      </c>
      <c r="E67" s="5" t="s">
        <v>2266</v>
      </c>
      <c r="F67" s="5" t="s">
        <v>2190</v>
      </c>
      <c r="G67" s="5"/>
    </row>
    <row r="68" customFormat="false" ht="23.85" hidden="false" customHeight="false" outlineLevel="0" collapsed="false">
      <c r="A68" s="5" t="s">
        <v>2267</v>
      </c>
      <c r="B68" s="5" t="s">
        <v>2106</v>
      </c>
      <c r="C68" s="5" t="s">
        <v>2268</v>
      </c>
      <c r="D68" s="5" t="s">
        <v>2269</v>
      </c>
      <c r="E68" s="5" t="s">
        <v>2270</v>
      </c>
      <c r="F68" s="5" t="s">
        <v>2190</v>
      </c>
      <c r="G68" s="5"/>
    </row>
    <row r="69" customFormat="false" ht="15" hidden="false" customHeight="false" outlineLevel="0" collapsed="false">
      <c r="A69" s="5" t="s">
        <v>2271</v>
      </c>
      <c r="B69" s="5" t="s">
        <v>2106</v>
      </c>
      <c r="C69" s="5" t="s">
        <v>2272</v>
      </c>
      <c r="D69" s="5" t="s">
        <v>2273</v>
      </c>
      <c r="E69" s="5" t="s">
        <v>2274</v>
      </c>
      <c r="F69" s="5" t="s">
        <v>2190</v>
      </c>
      <c r="G69" s="5"/>
    </row>
    <row r="70" customFormat="false" ht="23.85" hidden="false" customHeight="false" outlineLevel="0" collapsed="false">
      <c r="A70" s="5" t="s">
        <v>2275</v>
      </c>
      <c r="B70" s="5" t="s">
        <v>2106</v>
      </c>
      <c r="C70" s="5" t="s">
        <v>2276</v>
      </c>
      <c r="D70" s="5" t="s">
        <v>2277</v>
      </c>
      <c r="E70" s="5" t="s">
        <v>2278</v>
      </c>
      <c r="F70" s="5" t="s">
        <v>2190</v>
      </c>
      <c r="G70" s="5"/>
    </row>
    <row r="71" customFormat="false" ht="23.85" hidden="false" customHeight="false" outlineLevel="0" collapsed="false">
      <c r="A71" s="5" t="s">
        <v>2279</v>
      </c>
      <c r="B71" s="5" t="s">
        <v>2106</v>
      </c>
      <c r="C71" s="5" t="s">
        <v>2280</v>
      </c>
      <c r="D71" s="5" t="s">
        <v>2281</v>
      </c>
      <c r="E71" s="5" t="s">
        <v>2282</v>
      </c>
      <c r="F71" s="5" t="s">
        <v>2190</v>
      </c>
      <c r="G71" s="5"/>
    </row>
    <row r="72" customFormat="false" ht="23.85" hidden="false" customHeight="false" outlineLevel="0" collapsed="false">
      <c r="A72" s="5" t="s">
        <v>2283</v>
      </c>
      <c r="B72" s="5" t="s">
        <v>2106</v>
      </c>
      <c r="C72" s="5" t="s">
        <v>2284</v>
      </c>
      <c r="D72" s="5" t="s">
        <v>2285</v>
      </c>
      <c r="E72" s="5" t="s">
        <v>2286</v>
      </c>
      <c r="F72" s="5" t="s">
        <v>2190</v>
      </c>
      <c r="G72" s="5"/>
    </row>
    <row r="73" customFormat="false" ht="15" hidden="false" customHeight="false" outlineLevel="0" collapsed="false">
      <c r="A73" s="5" t="s">
        <v>2287</v>
      </c>
      <c r="B73" s="5" t="s">
        <v>2106</v>
      </c>
      <c r="C73" s="5" t="s">
        <v>2288</v>
      </c>
      <c r="D73" s="5" t="s">
        <v>2289</v>
      </c>
      <c r="E73" s="5" t="s">
        <v>2290</v>
      </c>
      <c r="F73" s="5" t="s">
        <v>2190</v>
      </c>
      <c r="G73" s="5"/>
    </row>
    <row r="74" customFormat="false" ht="35.05" hidden="false" customHeight="false" outlineLevel="0" collapsed="false">
      <c r="A74" s="5" t="s">
        <v>2291</v>
      </c>
      <c r="B74" s="5" t="s">
        <v>2106</v>
      </c>
      <c r="C74" s="5" t="s">
        <v>2292</v>
      </c>
      <c r="D74" s="5" t="s">
        <v>2293</v>
      </c>
      <c r="E74" s="5" t="s">
        <v>2294</v>
      </c>
      <c r="F74" s="5" t="s">
        <v>2190</v>
      </c>
      <c r="G74" s="5"/>
    </row>
    <row r="75" customFormat="false" ht="23.85" hidden="false" customHeight="false" outlineLevel="0" collapsed="false">
      <c r="A75" s="5" t="s">
        <v>2295</v>
      </c>
      <c r="B75" s="5" t="s">
        <v>2106</v>
      </c>
      <c r="C75" s="5" t="s">
        <v>2296</v>
      </c>
      <c r="D75" s="5" t="s">
        <v>2297</v>
      </c>
      <c r="E75" s="5" t="s">
        <v>2298</v>
      </c>
      <c r="F75" s="5" t="s">
        <v>2190</v>
      </c>
      <c r="G75" s="5"/>
    </row>
    <row r="76" customFormat="false" ht="46.25" hidden="false" customHeight="false" outlineLevel="0" collapsed="false">
      <c r="A76" s="5" t="s">
        <v>2299</v>
      </c>
      <c r="B76" s="5" t="s">
        <v>2106</v>
      </c>
      <c r="C76" s="5" t="s">
        <v>2300</v>
      </c>
      <c r="D76" s="5" t="s">
        <v>2301</v>
      </c>
      <c r="E76" s="5" t="s">
        <v>2302</v>
      </c>
      <c r="F76" s="5" t="s">
        <v>2190</v>
      </c>
      <c r="G76" s="5"/>
    </row>
    <row r="77" customFormat="false" ht="46.25" hidden="false" customHeight="false" outlineLevel="0" collapsed="false">
      <c r="A77" s="5" t="s">
        <v>2303</v>
      </c>
      <c r="B77" s="5" t="s">
        <v>2106</v>
      </c>
      <c r="C77" s="5" t="s">
        <v>2304</v>
      </c>
      <c r="D77" s="5" t="s">
        <v>2305</v>
      </c>
      <c r="E77" s="5" t="s">
        <v>2306</v>
      </c>
      <c r="F77" s="5" t="s">
        <v>2190</v>
      </c>
      <c r="G77" s="5"/>
    </row>
    <row r="78" customFormat="false" ht="23.85" hidden="false" customHeight="false" outlineLevel="0" collapsed="false">
      <c r="A78" s="5" t="s">
        <v>2307</v>
      </c>
      <c r="B78" s="5" t="s">
        <v>2106</v>
      </c>
      <c r="C78" s="5" t="s">
        <v>2308</v>
      </c>
      <c r="D78" s="5" t="s">
        <v>2309</v>
      </c>
      <c r="E78" s="5" t="s">
        <v>2310</v>
      </c>
      <c r="F78" s="5" t="s">
        <v>2190</v>
      </c>
      <c r="G78" s="5"/>
    </row>
    <row r="79" customFormat="false" ht="15" hidden="false" customHeight="false" outlineLevel="0" collapsed="false">
      <c r="A79" s="5" t="s">
        <v>2311</v>
      </c>
      <c r="B79" s="5" t="s">
        <v>2106</v>
      </c>
      <c r="C79" s="5" t="s">
        <v>2312</v>
      </c>
      <c r="D79" s="5" t="s">
        <v>2313</v>
      </c>
      <c r="E79" s="5" t="s">
        <v>2314</v>
      </c>
      <c r="F79" s="5" t="s">
        <v>2190</v>
      </c>
      <c r="G79" s="5"/>
    </row>
    <row r="80" customFormat="false" ht="15" hidden="false" customHeight="false" outlineLevel="0" collapsed="false">
      <c r="A80" s="5" t="s">
        <v>2315</v>
      </c>
      <c r="B80" s="5" t="s">
        <v>2106</v>
      </c>
      <c r="C80" s="5" t="s">
        <v>2316</v>
      </c>
      <c r="D80" s="5" t="s">
        <v>2317</v>
      </c>
      <c r="E80" s="5" t="s">
        <v>2318</v>
      </c>
      <c r="F80" s="5" t="s">
        <v>2190</v>
      </c>
      <c r="G80" s="5"/>
    </row>
    <row r="81" customFormat="false" ht="135.8" hidden="false" customHeight="false" outlineLevel="0" collapsed="false">
      <c r="A81" s="5" t="s">
        <v>2319</v>
      </c>
      <c r="B81" s="5" t="s">
        <v>2106</v>
      </c>
      <c r="C81" s="5" t="s">
        <v>2320</v>
      </c>
      <c r="D81" s="5" t="s">
        <v>2321</v>
      </c>
      <c r="E81" s="5" t="s">
        <v>2322</v>
      </c>
      <c r="F81" s="5" t="s">
        <v>2190</v>
      </c>
      <c r="G81" s="5"/>
    </row>
    <row r="82" customFormat="false" ht="15" hidden="false" customHeight="false" outlineLevel="0" collapsed="false">
      <c r="A82" s="5" t="s">
        <v>2323</v>
      </c>
      <c r="B82" s="5" t="s">
        <v>2106</v>
      </c>
      <c r="C82" s="5" t="s">
        <v>2324</v>
      </c>
      <c r="D82" s="5" t="s">
        <v>2325</v>
      </c>
      <c r="E82" s="5" t="s">
        <v>2326</v>
      </c>
      <c r="F82" s="5" t="s">
        <v>2190</v>
      </c>
      <c r="G82" s="5"/>
    </row>
    <row r="83" customFormat="false" ht="23.85" hidden="false" customHeight="false" outlineLevel="0" collapsed="false">
      <c r="A83" s="5" t="s">
        <v>2327</v>
      </c>
      <c r="B83" s="5" t="s">
        <v>2106</v>
      </c>
      <c r="C83" s="5" t="s">
        <v>2328</v>
      </c>
      <c r="D83" s="5" t="s">
        <v>2329</v>
      </c>
      <c r="E83" s="5" t="s">
        <v>2330</v>
      </c>
      <c r="F83" s="5" t="s">
        <v>2190</v>
      </c>
      <c r="G83" s="5"/>
    </row>
    <row r="84" customFormat="false" ht="35.05" hidden="false" customHeight="false" outlineLevel="0" collapsed="false">
      <c r="A84" s="5" t="s">
        <v>2331</v>
      </c>
      <c r="B84" s="5" t="s">
        <v>2106</v>
      </c>
      <c r="C84" s="5" t="s">
        <v>2332</v>
      </c>
      <c r="D84" s="5" t="s">
        <v>2333</v>
      </c>
      <c r="E84" s="5" t="s">
        <v>2334</v>
      </c>
      <c r="F84" s="5" t="s">
        <v>2190</v>
      </c>
      <c r="G84" s="5"/>
    </row>
    <row r="85" customFormat="false" ht="15" hidden="false" customHeight="false" outlineLevel="0" collapsed="false">
      <c r="A85" s="5" t="s">
        <v>2335</v>
      </c>
      <c r="B85" s="5" t="s">
        <v>2106</v>
      </c>
      <c r="C85" s="5" t="s">
        <v>2336</v>
      </c>
      <c r="D85" s="5" t="s">
        <v>2337</v>
      </c>
      <c r="E85" s="5" t="s">
        <v>2338</v>
      </c>
      <c r="F85" s="5" t="s">
        <v>2190</v>
      </c>
      <c r="G85" s="5"/>
    </row>
    <row r="86" customFormat="false" ht="15" hidden="false" customHeight="false" outlineLevel="0" collapsed="false">
      <c r="A86" s="5" t="s">
        <v>2339</v>
      </c>
      <c r="B86" s="5" t="s">
        <v>2106</v>
      </c>
      <c r="C86" s="5" t="s">
        <v>2340</v>
      </c>
      <c r="D86" s="5" t="s">
        <v>2341</v>
      </c>
      <c r="E86" s="5" t="s">
        <v>2342</v>
      </c>
      <c r="F86" s="5" t="s">
        <v>2190</v>
      </c>
      <c r="G86" s="5"/>
    </row>
    <row r="87" customFormat="false" ht="15" hidden="false" customHeight="false" outlineLevel="0" collapsed="false">
      <c r="A87" s="5" t="s">
        <v>2343</v>
      </c>
      <c r="B87" s="5" t="s">
        <v>2106</v>
      </c>
      <c r="C87" s="5" t="s">
        <v>2344</v>
      </c>
      <c r="D87" s="5" t="s">
        <v>2345</v>
      </c>
      <c r="E87" s="5" t="s">
        <v>2346</v>
      </c>
      <c r="F87" s="5" t="s">
        <v>2190</v>
      </c>
      <c r="G87" s="5"/>
    </row>
    <row r="88" customFormat="false" ht="15" hidden="false" customHeight="false" outlineLevel="0" collapsed="false">
      <c r="A88" s="5" t="s">
        <v>2347</v>
      </c>
      <c r="B88" s="5" t="s">
        <v>2106</v>
      </c>
      <c r="C88" s="5" t="s">
        <v>2348</v>
      </c>
      <c r="D88" s="5" t="s">
        <v>2349</v>
      </c>
      <c r="E88" s="5" t="s">
        <v>2350</v>
      </c>
      <c r="F88" s="5" t="s">
        <v>2190</v>
      </c>
      <c r="G88" s="5"/>
    </row>
    <row r="89" customFormat="false" ht="15" hidden="false" customHeight="false" outlineLevel="0" collapsed="false">
      <c r="A89" s="5" t="s">
        <v>2351</v>
      </c>
      <c r="B89" s="5" t="s">
        <v>2106</v>
      </c>
      <c r="C89" s="5" t="s">
        <v>2352</v>
      </c>
      <c r="D89" s="5" t="s">
        <v>2353</v>
      </c>
      <c r="E89" s="5" t="s">
        <v>2354</v>
      </c>
      <c r="F89" s="5" t="s">
        <v>2190</v>
      </c>
      <c r="G89" s="5"/>
    </row>
    <row r="90" customFormat="false" ht="35.05" hidden="false" customHeight="false" outlineLevel="0" collapsed="false">
      <c r="A90" s="5" t="s">
        <v>2355</v>
      </c>
      <c r="B90" s="5" t="s">
        <v>2106</v>
      </c>
      <c r="C90" s="5" t="s">
        <v>2356</v>
      </c>
      <c r="D90" s="5" t="s">
        <v>2357</v>
      </c>
      <c r="E90" s="5" t="s">
        <v>2358</v>
      </c>
      <c r="F90" s="5" t="s">
        <v>2190</v>
      </c>
      <c r="G90" s="5"/>
    </row>
    <row r="91" customFormat="false" ht="15" hidden="false" customHeight="false" outlineLevel="0" collapsed="false">
      <c r="A91" s="5" t="s">
        <v>2359</v>
      </c>
      <c r="B91" s="5" t="s">
        <v>2106</v>
      </c>
      <c r="C91" s="5" t="s">
        <v>2360</v>
      </c>
      <c r="D91" s="5" t="s">
        <v>2361</v>
      </c>
      <c r="E91" s="5" t="s">
        <v>2362</v>
      </c>
      <c r="F91" s="5" t="s">
        <v>2190</v>
      </c>
      <c r="G91" s="5"/>
    </row>
    <row r="92" customFormat="false" ht="15" hidden="false" customHeight="false" outlineLevel="0" collapsed="false">
      <c r="A92" s="5" t="s">
        <v>2363</v>
      </c>
      <c r="B92" s="5" t="s">
        <v>2106</v>
      </c>
      <c r="C92" s="5" t="s">
        <v>2364</v>
      </c>
      <c r="D92" s="5" t="s">
        <v>2365</v>
      </c>
      <c r="E92" s="5" t="s">
        <v>2366</v>
      </c>
      <c r="F92" s="5" t="s">
        <v>2190</v>
      </c>
      <c r="G92" s="5"/>
    </row>
    <row r="93" customFormat="false" ht="23.85" hidden="false" customHeight="false" outlineLevel="0" collapsed="false">
      <c r="A93" s="5" t="s">
        <v>2367</v>
      </c>
      <c r="B93" s="5" t="s">
        <v>2106</v>
      </c>
      <c r="C93" s="5" t="s">
        <v>2368</v>
      </c>
      <c r="D93" s="5" t="s">
        <v>2369</v>
      </c>
      <c r="E93" s="5" t="s">
        <v>2370</v>
      </c>
      <c r="F93" s="5" t="s">
        <v>2190</v>
      </c>
      <c r="G93" s="5"/>
    </row>
    <row r="94" customFormat="false" ht="23.85" hidden="false" customHeight="false" outlineLevel="0" collapsed="false">
      <c r="A94" s="5" t="s">
        <v>2371</v>
      </c>
      <c r="B94" s="5" t="s">
        <v>2106</v>
      </c>
      <c r="C94" s="5" t="s">
        <v>2372</v>
      </c>
      <c r="D94" s="5" t="s">
        <v>2373</v>
      </c>
      <c r="E94" s="5" t="s">
        <v>2374</v>
      </c>
      <c r="F94" s="5" t="s">
        <v>2190</v>
      </c>
      <c r="G94" s="5"/>
    </row>
    <row r="95" customFormat="false" ht="23.85" hidden="false" customHeight="false" outlineLevel="0" collapsed="false">
      <c r="A95" s="5" t="s">
        <v>2375</v>
      </c>
      <c r="B95" s="5" t="s">
        <v>2106</v>
      </c>
      <c r="C95" s="5" t="s">
        <v>2376</v>
      </c>
      <c r="D95" s="5" t="s">
        <v>2377</v>
      </c>
      <c r="E95" s="5" t="s">
        <v>2378</v>
      </c>
      <c r="F95" s="5" t="s">
        <v>2190</v>
      </c>
      <c r="G95" s="5"/>
    </row>
    <row r="96" customFormat="false" ht="35.05" hidden="false" customHeight="false" outlineLevel="0" collapsed="false">
      <c r="A96" s="5" t="s">
        <v>2379</v>
      </c>
      <c r="B96" s="5" t="s">
        <v>2106</v>
      </c>
      <c r="C96" s="5" t="s">
        <v>2380</v>
      </c>
      <c r="D96" s="5" t="s">
        <v>2381</v>
      </c>
      <c r="E96" s="5" t="s">
        <v>2382</v>
      </c>
      <c r="F96" s="5" t="s">
        <v>2190</v>
      </c>
      <c r="G96" s="5"/>
    </row>
    <row r="97" customFormat="false" ht="68.65" hidden="false" customHeight="false" outlineLevel="0" collapsed="false">
      <c r="A97" s="5" t="s">
        <v>2383</v>
      </c>
      <c r="B97" s="5" t="s">
        <v>2106</v>
      </c>
      <c r="C97" s="5" t="s">
        <v>2384</v>
      </c>
      <c r="D97" s="5" t="s">
        <v>2385</v>
      </c>
      <c r="E97" s="5" t="s">
        <v>2386</v>
      </c>
      <c r="F97" s="5" t="s">
        <v>2190</v>
      </c>
      <c r="G97" s="5"/>
    </row>
    <row r="98" customFormat="false" ht="15" hidden="false" customHeight="false" outlineLevel="0" collapsed="false">
      <c r="A98" s="5" t="s">
        <v>2387</v>
      </c>
      <c r="B98" s="5" t="s">
        <v>2106</v>
      </c>
      <c r="C98" s="5" t="s">
        <v>2388</v>
      </c>
      <c r="D98" s="5" t="s">
        <v>2389</v>
      </c>
      <c r="E98" s="5" t="s">
        <v>2390</v>
      </c>
      <c r="F98" s="5" t="s">
        <v>2190</v>
      </c>
      <c r="G98" s="5"/>
    </row>
    <row r="99" customFormat="false" ht="15" hidden="false" customHeight="false" outlineLevel="0" collapsed="false">
      <c r="A99" s="5" t="s">
        <v>2391</v>
      </c>
      <c r="B99" s="5" t="s">
        <v>2106</v>
      </c>
      <c r="C99" s="5" t="s">
        <v>2392</v>
      </c>
      <c r="D99" s="5" t="s">
        <v>2393</v>
      </c>
      <c r="E99" s="5" t="s">
        <v>2394</v>
      </c>
      <c r="F99" s="5" t="s">
        <v>2190</v>
      </c>
      <c r="G99" s="5"/>
    </row>
    <row r="100" customFormat="false" ht="15" hidden="false" customHeight="false" outlineLevel="0" collapsed="false">
      <c r="A100" s="5" t="s">
        <v>2395</v>
      </c>
      <c r="B100" s="5" t="s">
        <v>2106</v>
      </c>
      <c r="C100" s="5" t="s">
        <v>2396</v>
      </c>
      <c r="D100" s="5" t="s">
        <v>2397</v>
      </c>
      <c r="E100" s="5" t="s">
        <v>2398</v>
      </c>
      <c r="F100" s="5" t="s">
        <v>2190</v>
      </c>
      <c r="G100" s="5"/>
    </row>
    <row r="101" customFormat="false" ht="15" hidden="false" customHeight="false" outlineLevel="0" collapsed="false">
      <c r="A101" s="5" t="s">
        <v>2399</v>
      </c>
      <c r="B101" s="5" t="s">
        <v>2106</v>
      </c>
      <c r="C101" s="5" t="s">
        <v>2400</v>
      </c>
      <c r="D101" s="5" t="s">
        <v>2401</v>
      </c>
      <c r="E101" s="5" t="s">
        <v>2402</v>
      </c>
      <c r="F101" s="5" t="s">
        <v>2190</v>
      </c>
      <c r="G101" s="5"/>
    </row>
    <row r="102" customFormat="false" ht="15" hidden="false" customHeight="false" outlineLevel="0" collapsed="false">
      <c r="A102" s="5" t="s">
        <v>2403</v>
      </c>
      <c r="B102" s="5" t="s">
        <v>2106</v>
      </c>
      <c r="C102" s="5" t="s">
        <v>2404</v>
      </c>
      <c r="D102" s="5" t="s">
        <v>2405</v>
      </c>
      <c r="E102" s="5" t="s">
        <v>2406</v>
      </c>
      <c r="F102" s="5" t="s">
        <v>2190</v>
      </c>
      <c r="G102" s="5"/>
    </row>
    <row r="103" customFormat="false" ht="15" hidden="false" customHeight="false" outlineLevel="0" collapsed="false">
      <c r="A103" s="5" t="s">
        <v>2407</v>
      </c>
      <c r="B103" s="5" t="s">
        <v>2106</v>
      </c>
      <c r="C103" s="5" t="s">
        <v>2408</v>
      </c>
      <c r="D103" s="5" t="s">
        <v>2409</v>
      </c>
      <c r="E103" s="5" t="s">
        <v>2410</v>
      </c>
      <c r="F103" s="5" t="s">
        <v>2190</v>
      </c>
      <c r="G103" s="5"/>
    </row>
    <row r="104" customFormat="false" ht="15" hidden="false" customHeight="false" outlineLevel="0" collapsed="false">
      <c r="A104" s="5" t="s">
        <v>2411</v>
      </c>
      <c r="B104" s="5" t="s">
        <v>2106</v>
      </c>
      <c r="C104" s="5" t="s">
        <v>2412</v>
      </c>
      <c r="D104" s="5" t="s">
        <v>2413</v>
      </c>
      <c r="E104" s="5" t="s">
        <v>2414</v>
      </c>
      <c r="F104" s="5" t="s">
        <v>2190</v>
      </c>
      <c r="G104" s="5"/>
    </row>
    <row r="105" customFormat="false" ht="15" hidden="false" customHeight="false" outlineLevel="0" collapsed="false">
      <c r="A105" s="5" t="s">
        <v>2415</v>
      </c>
      <c r="B105" s="5" t="s">
        <v>2106</v>
      </c>
      <c r="C105" s="5" t="s">
        <v>2416</v>
      </c>
      <c r="D105" s="5" t="s">
        <v>2417</v>
      </c>
      <c r="E105" s="5" t="s">
        <v>2418</v>
      </c>
      <c r="F105" s="5" t="s">
        <v>2190</v>
      </c>
      <c r="G105" s="5"/>
    </row>
    <row r="106" customFormat="false" ht="15" hidden="false" customHeight="false" outlineLevel="0" collapsed="false">
      <c r="A106" s="5" t="s">
        <v>2419</v>
      </c>
      <c r="B106" s="5" t="s">
        <v>2106</v>
      </c>
      <c r="C106" s="5" t="s">
        <v>2420</v>
      </c>
      <c r="D106" s="5" t="s">
        <v>2421</v>
      </c>
      <c r="E106" s="5" t="s">
        <v>2422</v>
      </c>
      <c r="F106" s="5" t="s">
        <v>2190</v>
      </c>
      <c r="G106" s="5"/>
    </row>
    <row r="107" customFormat="false" ht="15" hidden="false" customHeight="false" outlineLevel="0" collapsed="false">
      <c r="A107" s="5" t="s">
        <v>2423</v>
      </c>
      <c r="B107" s="5" t="s">
        <v>2106</v>
      </c>
      <c r="C107" s="5" t="s">
        <v>2424</v>
      </c>
      <c r="D107" s="5" t="s">
        <v>2425</v>
      </c>
      <c r="E107" s="5" t="s">
        <v>2426</v>
      </c>
      <c r="F107" s="5" t="s">
        <v>2190</v>
      </c>
      <c r="G107" s="5"/>
    </row>
    <row r="108" customFormat="false" ht="15" hidden="false" customHeight="false" outlineLevel="0" collapsed="false">
      <c r="A108" s="5" t="s">
        <v>2427</v>
      </c>
      <c r="B108" s="5" t="s">
        <v>2106</v>
      </c>
      <c r="C108" s="5" t="s">
        <v>2428</v>
      </c>
      <c r="D108" s="5" t="s">
        <v>2429</v>
      </c>
      <c r="E108" s="5" t="s">
        <v>2430</v>
      </c>
      <c r="F108" s="5" t="s">
        <v>2190</v>
      </c>
      <c r="G108" s="5"/>
    </row>
    <row r="109" customFormat="false" ht="15" hidden="false" customHeight="false" outlineLevel="0" collapsed="false">
      <c r="A109" s="5" t="s">
        <v>2431</v>
      </c>
      <c r="B109" s="5" t="s">
        <v>2106</v>
      </c>
      <c r="C109" s="5" t="s">
        <v>2432</v>
      </c>
      <c r="D109" s="5" t="s">
        <v>2433</v>
      </c>
      <c r="E109" s="5" t="s">
        <v>2434</v>
      </c>
      <c r="F109" s="5" t="s">
        <v>2190</v>
      </c>
      <c r="G109" s="5"/>
    </row>
    <row r="110" customFormat="false" ht="15" hidden="false" customHeight="false" outlineLevel="0" collapsed="false">
      <c r="A110" s="5" t="s">
        <v>2435</v>
      </c>
      <c r="B110" s="5" t="s">
        <v>2106</v>
      </c>
      <c r="C110" s="5" t="s">
        <v>2436</v>
      </c>
      <c r="D110" s="5" t="s">
        <v>2437</v>
      </c>
      <c r="E110" s="5" t="s">
        <v>2438</v>
      </c>
      <c r="F110" s="5" t="s">
        <v>2190</v>
      </c>
      <c r="G110" s="5"/>
    </row>
    <row r="111" customFormat="false" ht="15" hidden="false" customHeight="false" outlineLevel="0" collapsed="false">
      <c r="A111" s="5" t="s">
        <v>2439</v>
      </c>
      <c r="B111" s="5" t="s">
        <v>2106</v>
      </c>
      <c r="C111" s="5" t="s">
        <v>2440</v>
      </c>
      <c r="D111" s="5" t="s">
        <v>2441</v>
      </c>
      <c r="E111" s="5" t="s">
        <v>2442</v>
      </c>
      <c r="F111" s="5" t="s">
        <v>2190</v>
      </c>
      <c r="G111" s="5"/>
    </row>
    <row r="112" customFormat="false" ht="15" hidden="false" customHeight="false" outlineLevel="0" collapsed="false">
      <c r="A112" s="5" t="s">
        <v>2443</v>
      </c>
      <c r="B112" s="5" t="s">
        <v>2106</v>
      </c>
      <c r="C112" s="5" t="s">
        <v>2444</v>
      </c>
      <c r="D112" s="5" t="s">
        <v>2445</v>
      </c>
      <c r="E112" s="5" t="s">
        <v>2446</v>
      </c>
      <c r="F112" s="5" t="s">
        <v>2190</v>
      </c>
      <c r="G112" s="5"/>
    </row>
    <row r="113" customFormat="false" ht="35.05" hidden="false" customHeight="false" outlineLevel="0" collapsed="false">
      <c r="A113" s="5" t="s">
        <v>2447</v>
      </c>
      <c r="B113" s="5" t="s">
        <v>2106</v>
      </c>
      <c r="C113" s="5" t="s">
        <v>2448</v>
      </c>
      <c r="D113" s="5" t="s">
        <v>2449</v>
      </c>
      <c r="E113" s="5" t="s">
        <v>2450</v>
      </c>
      <c r="F113" s="5" t="s">
        <v>2190</v>
      </c>
      <c r="G113" s="5"/>
    </row>
    <row r="114" customFormat="false" ht="15" hidden="false" customHeight="false" outlineLevel="0" collapsed="false">
      <c r="A114" s="5" t="s">
        <v>2451</v>
      </c>
      <c r="B114" s="5" t="s">
        <v>2106</v>
      </c>
      <c r="C114" s="5" t="s">
        <v>2452</v>
      </c>
      <c r="D114" s="5" t="s">
        <v>2453</v>
      </c>
      <c r="E114" s="5" t="s">
        <v>2454</v>
      </c>
      <c r="F114" s="5" t="s">
        <v>2190</v>
      </c>
      <c r="G114" s="5"/>
    </row>
    <row r="115" customFormat="false" ht="15" hidden="false" customHeight="false" outlineLevel="0" collapsed="false">
      <c r="A115" s="5" t="s">
        <v>2455</v>
      </c>
      <c r="B115" s="5" t="s">
        <v>2106</v>
      </c>
      <c r="C115" s="5" t="s">
        <v>2456</v>
      </c>
      <c r="D115" s="5" t="s">
        <v>2457</v>
      </c>
      <c r="E115" s="5" t="s">
        <v>2458</v>
      </c>
      <c r="F115" s="5" t="s">
        <v>2190</v>
      </c>
      <c r="G115" s="5"/>
    </row>
    <row r="116" customFormat="false" ht="15" hidden="false" customHeight="false" outlineLevel="0" collapsed="false">
      <c r="A116" s="5" t="s">
        <v>2459</v>
      </c>
      <c r="B116" s="5" t="s">
        <v>2106</v>
      </c>
      <c r="C116" s="5" t="s">
        <v>2460</v>
      </c>
      <c r="D116" s="5" t="s">
        <v>2461</v>
      </c>
      <c r="E116" s="5" t="s">
        <v>2462</v>
      </c>
      <c r="F116" s="5" t="s">
        <v>2190</v>
      </c>
      <c r="G116" s="5"/>
    </row>
    <row r="117" customFormat="false" ht="15" hidden="false" customHeight="false" outlineLevel="0" collapsed="false">
      <c r="A117" s="5" t="s">
        <v>2463</v>
      </c>
      <c r="B117" s="5" t="s">
        <v>2106</v>
      </c>
      <c r="C117" s="5" t="s">
        <v>2464</v>
      </c>
      <c r="D117" s="5" t="s">
        <v>2465</v>
      </c>
      <c r="E117" s="5" t="s">
        <v>2466</v>
      </c>
      <c r="F117" s="5" t="s">
        <v>2190</v>
      </c>
      <c r="G117" s="5"/>
    </row>
    <row r="118" customFormat="false" ht="15" hidden="false" customHeight="false" outlineLevel="0" collapsed="false">
      <c r="A118" s="5" t="s">
        <v>2467</v>
      </c>
      <c r="B118" s="5" t="s">
        <v>2106</v>
      </c>
      <c r="C118" s="5" t="s">
        <v>2468</v>
      </c>
      <c r="D118" s="5" t="s">
        <v>2469</v>
      </c>
      <c r="E118" s="5" t="s">
        <v>2470</v>
      </c>
      <c r="F118" s="5" t="s">
        <v>2190</v>
      </c>
      <c r="G118" s="5"/>
    </row>
    <row r="119" customFormat="false" ht="15" hidden="false" customHeight="false" outlineLevel="0" collapsed="false">
      <c r="A119" s="5" t="s">
        <v>2471</v>
      </c>
      <c r="B119" s="5" t="s">
        <v>2106</v>
      </c>
      <c r="C119" s="5" t="s">
        <v>2472</v>
      </c>
      <c r="D119" s="5" t="s">
        <v>2473</v>
      </c>
      <c r="E119" s="5" t="s">
        <v>2474</v>
      </c>
      <c r="F119" s="5" t="s">
        <v>2190</v>
      </c>
      <c r="G119" s="5"/>
    </row>
    <row r="120" customFormat="false" ht="15" hidden="false" customHeight="false" outlineLevel="0" collapsed="false">
      <c r="A120" s="5" t="s">
        <v>2475</v>
      </c>
      <c r="B120" s="5" t="s">
        <v>2106</v>
      </c>
      <c r="C120" s="5" t="s">
        <v>2476</v>
      </c>
      <c r="D120" s="5" t="s">
        <v>2477</v>
      </c>
      <c r="E120" s="5" t="s">
        <v>2478</v>
      </c>
      <c r="F120" s="5" t="s">
        <v>2190</v>
      </c>
      <c r="G120" s="5"/>
    </row>
    <row r="121" customFormat="false" ht="15" hidden="false" customHeight="false" outlineLevel="0" collapsed="false">
      <c r="A121" s="5" t="s">
        <v>2479</v>
      </c>
      <c r="B121" s="5" t="s">
        <v>2106</v>
      </c>
      <c r="C121" s="5" t="s">
        <v>2480</v>
      </c>
      <c r="D121" s="5" t="s">
        <v>2481</v>
      </c>
      <c r="E121" s="5" t="s">
        <v>2482</v>
      </c>
      <c r="F121" s="5" t="s">
        <v>2190</v>
      </c>
      <c r="G121" s="5"/>
    </row>
    <row r="122" customFormat="false" ht="15" hidden="false" customHeight="false" outlineLevel="0" collapsed="false">
      <c r="A122" s="5" t="s">
        <v>2483</v>
      </c>
      <c r="B122" s="5" t="s">
        <v>2106</v>
      </c>
      <c r="C122" s="5" t="s">
        <v>2484</v>
      </c>
      <c r="D122" s="5" t="s">
        <v>2485</v>
      </c>
      <c r="E122" s="5" t="s">
        <v>2486</v>
      </c>
      <c r="F122" s="5" t="s">
        <v>2190</v>
      </c>
      <c r="G122" s="5"/>
    </row>
    <row r="123" customFormat="false" ht="15" hidden="false" customHeight="false" outlineLevel="0" collapsed="false">
      <c r="A123" s="5" t="s">
        <v>2487</v>
      </c>
      <c r="B123" s="5" t="s">
        <v>2106</v>
      </c>
      <c r="C123" s="5" t="s">
        <v>2488</v>
      </c>
      <c r="D123" s="5" t="s">
        <v>2489</v>
      </c>
      <c r="E123" s="5" t="s">
        <v>2490</v>
      </c>
      <c r="F123" s="5" t="s">
        <v>2190</v>
      </c>
      <c r="G123" s="5"/>
    </row>
    <row r="124" customFormat="false" ht="15" hidden="false" customHeight="false" outlineLevel="0" collapsed="false">
      <c r="A124" s="5" t="s">
        <v>2491</v>
      </c>
      <c r="B124" s="5" t="s">
        <v>2106</v>
      </c>
      <c r="C124" s="5" t="s">
        <v>2492</v>
      </c>
      <c r="D124" s="5" t="s">
        <v>2493</v>
      </c>
      <c r="E124" s="5" t="s">
        <v>2494</v>
      </c>
      <c r="F124" s="5" t="s">
        <v>2190</v>
      </c>
      <c r="G124" s="5"/>
    </row>
    <row r="125" customFormat="false" ht="15" hidden="false" customHeight="false" outlineLevel="0" collapsed="false">
      <c r="A125" s="5" t="s">
        <v>2495</v>
      </c>
      <c r="B125" s="5" t="s">
        <v>2106</v>
      </c>
      <c r="C125" s="5" t="s">
        <v>2496</v>
      </c>
      <c r="D125" s="5" t="s">
        <v>2497</v>
      </c>
      <c r="E125" s="5" t="s">
        <v>2498</v>
      </c>
      <c r="F125" s="5" t="s">
        <v>2190</v>
      </c>
      <c r="G125" s="5"/>
    </row>
    <row r="126" customFormat="false" ht="15" hidden="false" customHeight="false" outlineLevel="0" collapsed="false">
      <c r="A126" s="5" t="s">
        <v>2499</v>
      </c>
      <c r="B126" s="5" t="s">
        <v>2106</v>
      </c>
      <c r="C126" s="5" t="s">
        <v>2500</v>
      </c>
      <c r="D126" s="5" t="s">
        <v>2501</v>
      </c>
      <c r="E126" s="5" t="s">
        <v>2502</v>
      </c>
      <c r="F126" s="5" t="s">
        <v>2190</v>
      </c>
      <c r="G126" s="5"/>
    </row>
    <row r="127" customFormat="false" ht="15" hidden="false" customHeight="false" outlineLevel="0" collapsed="false">
      <c r="A127" s="5" t="s">
        <v>2503</v>
      </c>
      <c r="B127" s="5" t="s">
        <v>2106</v>
      </c>
      <c r="C127" s="5" t="s">
        <v>2504</v>
      </c>
      <c r="D127" s="5" t="s">
        <v>2505</v>
      </c>
      <c r="E127" s="5" t="s">
        <v>2502</v>
      </c>
      <c r="F127" s="5" t="s">
        <v>2190</v>
      </c>
      <c r="G127" s="5"/>
    </row>
    <row r="128" customFormat="false" ht="23.85" hidden="false" customHeight="false" outlineLevel="0" collapsed="false">
      <c r="A128" s="5" t="s">
        <v>2506</v>
      </c>
      <c r="B128" s="5" t="s">
        <v>2106</v>
      </c>
      <c r="C128" s="5" t="s">
        <v>2507</v>
      </c>
      <c r="D128" s="5" t="s">
        <v>2508</v>
      </c>
      <c r="E128" s="5" t="s">
        <v>2509</v>
      </c>
      <c r="F128" s="5" t="s">
        <v>2190</v>
      </c>
      <c r="G128" s="5"/>
    </row>
    <row r="129" customFormat="false" ht="15" hidden="false" customHeight="false" outlineLevel="0" collapsed="false">
      <c r="A129" s="5" t="s">
        <v>2510</v>
      </c>
      <c r="B129" s="5" t="s">
        <v>2106</v>
      </c>
      <c r="C129" s="5" t="s">
        <v>2511</v>
      </c>
      <c r="D129" s="5" t="s">
        <v>2512</v>
      </c>
      <c r="E129" s="5" t="s">
        <v>2513</v>
      </c>
      <c r="F129" s="5" t="s">
        <v>2190</v>
      </c>
      <c r="G129" s="5"/>
    </row>
    <row r="130" customFormat="false" ht="23.85" hidden="false" customHeight="false" outlineLevel="0" collapsed="false">
      <c r="A130" s="5" t="s">
        <v>2514</v>
      </c>
      <c r="B130" s="5" t="s">
        <v>2106</v>
      </c>
      <c r="C130" s="5" t="s">
        <v>2515</v>
      </c>
      <c r="D130" s="5" t="s">
        <v>2516</v>
      </c>
      <c r="E130" s="5" t="s">
        <v>2517</v>
      </c>
      <c r="F130" s="5" t="s">
        <v>2190</v>
      </c>
      <c r="G130" s="5"/>
    </row>
    <row r="131" customFormat="false" ht="23.85" hidden="false" customHeight="false" outlineLevel="0" collapsed="false">
      <c r="A131" s="5" t="s">
        <v>2518</v>
      </c>
      <c r="B131" s="5" t="s">
        <v>2106</v>
      </c>
      <c r="C131" s="5" t="s">
        <v>2519</v>
      </c>
      <c r="D131" s="5" t="s">
        <v>2520</v>
      </c>
      <c r="E131" s="5" t="s">
        <v>2521</v>
      </c>
      <c r="F131" s="5" t="s">
        <v>2190</v>
      </c>
      <c r="G131" s="5"/>
    </row>
    <row r="132" customFormat="false" ht="15" hidden="false" customHeight="false" outlineLevel="0" collapsed="false">
      <c r="A132" s="5" t="s">
        <v>2522</v>
      </c>
      <c r="B132" s="5" t="s">
        <v>2106</v>
      </c>
      <c r="C132" s="5" t="s">
        <v>2523</v>
      </c>
      <c r="D132" s="5" t="s">
        <v>2524</v>
      </c>
      <c r="E132" s="5" t="s">
        <v>2525</v>
      </c>
      <c r="F132" s="5" t="s">
        <v>2190</v>
      </c>
      <c r="G132" s="5"/>
    </row>
    <row r="133" customFormat="false" ht="15" hidden="false" customHeight="false" outlineLevel="0" collapsed="false">
      <c r="A133" s="5" t="s">
        <v>2526</v>
      </c>
      <c r="B133" s="5" t="s">
        <v>2106</v>
      </c>
      <c r="C133" s="5" t="s">
        <v>2527</v>
      </c>
      <c r="D133" s="5" t="s">
        <v>2528</v>
      </c>
      <c r="E133" s="5" t="s">
        <v>2529</v>
      </c>
      <c r="F133" s="5" t="s">
        <v>2190</v>
      </c>
      <c r="G133" s="5"/>
    </row>
    <row r="134" customFormat="false" ht="15" hidden="false" customHeight="false" outlineLevel="0" collapsed="false">
      <c r="A134" s="5" t="s">
        <v>2530</v>
      </c>
      <c r="B134" s="5" t="s">
        <v>2106</v>
      </c>
      <c r="C134" s="5" t="s">
        <v>2531</v>
      </c>
      <c r="D134" s="5" t="s">
        <v>2532</v>
      </c>
      <c r="E134" s="5" t="s">
        <v>2533</v>
      </c>
      <c r="F134" s="5" t="s">
        <v>2190</v>
      </c>
      <c r="G134" s="5"/>
    </row>
    <row r="135" customFormat="false" ht="15" hidden="false" customHeight="false" outlineLevel="0" collapsed="false">
      <c r="A135" s="5" t="s">
        <v>2534</v>
      </c>
      <c r="B135" s="5" t="s">
        <v>2106</v>
      </c>
      <c r="C135" s="5" t="s">
        <v>2535</v>
      </c>
      <c r="D135" s="5" t="s">
        <v>2536</v>
      </c>
      <c r="E135" s="5" t="s">
        <v>2537</v>
      </c>
      <c r="F135" s="5" t="s">
        <v>2190</v>
      </c>
      <c r="G135" s="5"/>
    </row>
    <row r="136" customFormat="false" ht="15" hidden="false" customHeight="false" outlineLevel="0" collapsed="false">
      <c r="A136" s="5" t="s">
        <v>2538</v>
      </c>
      <c r="B136" s="5" t="s">
        <v>2106</v>
      </c>
      <c r="C136" s="5" t="s">
        <v>2539</v>
      </c>
      <c r="D136" s="5" t="s">
        <v>2540</v>
      </c>
      <c r="E136" s="5" t="s">
        <v>2541</v>
      </c>
      <c r="F136" s="5" t="s">
        <v>2190</v>
      </c>
      <c r="G136" s="5"/>
    </row>
    <row r="137" customFormat="false" ht="15" hidden="false" customHeight="false" outlineLevel="0" collapsed="false">
      <c r="A137" s="5" t="s">
        <v>2542</v>
      </c>
      <c r="B137" s="5" t="s">
        <v>2106</v>
      </c>
      <c r="C137" s="5" t="s">
        <v>2543</v>
      </c>
      <c r="D137" s="5" t="s">
        <v>2544</v>
      </c>
      <c r="E137" s="5" t="s">
        <v>2545</v>
      </c>
      <c r="F137" s="5" t="s">
        <v>2190</v>
      </c>
      <c r="G137" s="5"/>
    </row>
    <row r="138" customFormat="false" ht="15" hidden="false" customHeight="false" outlineLevel="0" collapsed="false">
      <c r="A138" s="5" t="s">
        <v>2546</v>
      </c>
      <c r="B138" s="5" t="s">
        <v>2106</v>
      </c>
      <c r="C138" s="5" t="s">
        <v>2547</v>
      </c>
      <c r="D138" s="5" t="s">
        <v>2548</v>
      </c>
      <c r="E138" s="5" t="s">
        <v>2549</v>
      </c>
      <c r="F138" s="5" t="s">
        <v>2190</v>
      </c>
      <c r="G138" s="5"/>
    </row>
    <row r="139" customFormat="false" ht="15" hidden="false" customHeight="false" outlineLevel="0" collapsed="false">
      <c r="A139" s="5" t="s">
        <v>2550</v>
      </c>
      <c r="B139" s="5" t="s">
        <v>2106</v>
      </c>
      <c r="C139" s="5" t="s">
        <v>2551</v>
      </c>
      <c r="D139" s="5" t="s">
        <v>2552</v>
      </c>
      <c r="E139" s="5" t="s">
        <v>2553</v>
      </c>
      <c r="F139" s="5" t="s">
        <v>2190</v>
      </c>
      <c r="G139" s="5"/>
    </row>
    <row r="140" customFormat="false" ht="35.05" hidden="false" customHeight="false" outlineLevel="0" collapsed="false">
      <c r="A140" s="5" t="s">
        <v>2554</v>
      </c>
      <c r="B140" s="5" t="s">
        <v>2106</v>
      </c>
      <c r="C140" s="5" t="s">
        <v>2555</v>
      </c>
      <c r="D140" s="5" t="s">
        <v>2556</v>
      </c>
      <c r="E140" s="5" t="s">
        <v>2557</v>
      </c>
      <c r="F140" s="5" t="s">
        <v>2190</v>
      </c>
      <c r="G140" s="5"/>
    </row>
    <row r="141" customFormat="false" ht="23.85" hidden="false" customHeight="false" outlineLevel="0" collapsed="false">
      <c r="A141" s="5" t="s">
        <v>2558</v>
      </c>
      <c r="B141" s="5" t="s">
        <v>2106</v>
      </c>
      <c r="C141" s="5" t="s">
        <v>2559</v>
      </c>
      <c r="D141" s="5" t="s">
        <v>2560</v>
      </c>
      <c r="E141" s="5" t="s">
        <v>2561</v>
      </c>
      <c r="F141" s="5" t="s">
        <v>2190</v>
      </c>
      <c r="G141" s="5"/>
    </row>
    <row r="142" customFormat="false" ht="23.85" hidden="false" customHeight="false" outlineLevel="0" collapsed="false">
      <c r="A142" s="5" t="s">
        <v>2562</v>
      </c>
      <c r="B142" s="5" t="s">
        <v>2106</v>
      </c>
      <c r="C142" s="5" t="s">
        <v>2563</v>
      </c>
      <c r="D142" s="5" t="s">
        <v>2564</v>
      </c>
      <c r="E142" s="5" t="s">
        <v>2565</v>
      </c>
      <c r="F142" s="5" t="s">
        <v>2190</v>
      </c>
      <c r="G142" s="5"/>
    </row>
    <row r="143" customFormat="false" ht="23.85" hidden="false" customHeight="false" outlineLevel="0" collapsed="false">
      <c r="A143" s="5" t="s">
        <v>2566</v>
      </c>
      <c r="B143" s="5" t="s">
        <v>2106</v>
      </c>
      <c r="C143" s="5" t="s">
        <v>2567</v>
      </c>
      <c r="D143" s="5" t="s">
        <v>2568</v>
      </c>
      <c r="E143" s="5" t="s">
        <v>2569</v>
      </c>
      <c r="F143" s="5" t="s">
        <v>2190</v>
      </c>
      <c r="G143" s="5"/>
    </row>
    <row r="144" customFormat="false" ht="15" hidden="false" customHeight="false" outlineLevel="0" collapsed="false">
      <c r="A144" s="5" t="s">
        <v>2570</v>
      </c>
      <c r="B144" s="5" t="s">
        <v>2106</v>
      </c>
      <c r="C144" s="5" t="s">
        <v>2571</v>
      </c>
      <c r="D144" s="5" t="s">
        <v>2572</v>
      </c>
      <c r="E144" s="5" t="s">
        <v>2573</v>
      </c>
      <c r="F144" s="5" t="s">
        <v>2190</v>
      </c>
      <c r="G144" s="5"/>
    </row>
    <row r="145" customFormat="false" ht="23.85" hidden="false" customHeight="false" outlineLevel="0" collapsed="false">
      <c r="A145" s="5" t="s">
        <v>2574</v>
      </c>
      <c r="B145" s="5" t="s">
        <v>2106</v>
      </c>
      <c r="C145" s="5" t="s">
        <v>2575</v>
      </c>
      <c r="D145" s="5" t="s">
        <v>2576</v>
      </c>
      <c r="E145" s="5" t="s">
        <v>2577</v>
      </c>
      <c r="F145" s="5" t="s">
        <v>2190</v>
      </c>
      <c r="G145" s="5"/>
    </row>
    <row r="146" customFormat="false" ht="15" hidden="false" customHeight="false" outlineLevel="0" collapsed="false">
      <c r="A146" s="5" t="s">
        <v>2578</v>
      </c>
      <c r="B146" s="5" t="s">
        <v>2106</v>
      </c>
      <c r="C146" s="5" t="s">
        <v>2579</v>
      </c>
      <c r="D146" s="5" t="s">
        <v>2580</v>
      </c>
      <c r="E146" s="5" t="s">
        <v>2581</v>
      </c>
      <c r="F146" s="5" t="s">
        <v>2190</v>
      </c>
      <c r="G146" s="5"/>
    </row>
    <row r="147" customFormat="false" ht="15" hidden="false" customHeight="false" outlineLevel="0" collapsed="false">
      <c r="A147" s="5" t="s">
        <v>2582</v>
      </c>
      <c r="B147" s="5" t="s">
        <v>2106</v>
      </c>
      <c r="C147" s="5" t="s">
        <v>2583</v>
      </c>
      <c r="D147" s="5" t="s">
        <v>2584</v>
      </c>
      <c r="E147" s="5" t="s">
        <v>2585</v>
      </c>
      <c r="F147" s="5" t="s">
        <v>2190</v>
      </c>
      <c r="G147" s="5"/>
    </row>
    <row r="148" customFormat="false" ht="23.85" hidden="false" customHeight="false" outlineLevel="0" collapsed="false">
      <c r="A148" s="5" t="s">
        <v>2586</v>
      </c>
      <c r="B148" s="5" t="s">
        <v>2106</v>
      </c>
      <c r="C148" s="5" t="s">
        <v>2587</v>
      </c>
      <c r="D148" s="5" t="s">
        <v>2588</v>
      </c>
      <c r="E148" s="5" t="s">
        <v>2589</v>
      </c>
      <c r="F148" s="5" t="s">
        <v>2190</v>
      </c>
      <c r="G148" s="5"/>
    </row>
    <row r="149" customFormat="false" ht="15" hidden="false" customHeight="false" outlineLevel="0" collapsed="false">
      <c r="A149" s="5" t="s">
        <v>2590</v>
      </c>
      <c r="B149" s="5" t="s">
        <v>2106</v>
      </c>
      <c r="C149" s="5" t="s">
        <v>2591</v>
      </c>
      <c r="D149" s="5" t="s">
        <v>2592</v>
      </c>
      <c r="E149" s="5" t="s">
        <v>2593</v>
      </c>
      <c r="F149" s="5" t="s">
        <v>2190</v>
      </c>
      <c r="G149" s="5"/>
    </row>
    <row r="150" customFormat="false" ht="23.85" hidden="false" customHeight="false" outlineLevel="0" collapsed="false">
      <c r="A150" s="5" t="s">
        <v>2594</v>
      </c>
      <c r="B150" s="5" t="s">
        <v>2106</v>
      </c>
      <c r="C150" s="5" t="s">
        <v>2595</v>
      </c>
      <c r="D150" s="5" t="s">
        <v>2596</v>
      </c>
      <c r="E150" s="5" t="s">
        <v>2597</v>
      </c>
      <c r="F150" s="5" t="s">
        <v>2190</v>
      </c>
      <c r="G150" s="5"/>
    </row>
    <row r="151" customFormat="false" ht="23.85" hidden="false" customHeight="false" outlineLevel="0" collapsed="false">
      <c r="A151" s="5" t="s">
        <v>2598</v>
      </c>
      <c r="B151" s="5" t="s">
        <v>2106</v>
      </c>
      <c r="C151" s="5" t="s">
        <v>2599</v>
      </c>
      <c r="D151" s="5" t="s">
        <v>2600</v>
      </c>
      <c r="E151" s="5" t="s">
        <v>2601</v>
      </c>
      <c r="F151" s="5" t="s">
        <v>2190</v>
      </c>
      <c r="G151" s="5"/>
    </row>
    <row r="152" customFormat="false" ht="23.85" hidden="false" customHeight="false" outlineLevel="0" collapsed="false">
      <c r="A152" s="5" t="s">
        <v>2602</v>
      </c>
      <c r="B152" s="5" t="s">
        <v>2106</v>
      </c>
      <c r="C152" s="5" t="s">
        <v>2603</v>
      </c>
      <c r="D152" s="5" t="s">
        <v>2604</v>
      </c>
      <c r="E152" s="5" t="s">
        <v>2605</v>
      </c>
      <c r="F152" s="5" t="s">
        <v>2190</v>
      </c>
      <c r="G152" s="5"/>
    </row>
    <row r="153" customFormat="false" ht="15" hidden="false" customHeight="false" outlineLevel="0" collapsed="false">
      <c r="A153" s="5" t="s">
        <v>2606</v>
      </c>
      <c r="B153" s="5" t="s">
        <v>2129</v>
      </c>
      <c r="C153" s="5" t="s">
        <v>1056</v>
      </c>
      <c r="D153" s="5" t="s">
        <v>2607</v>
      </c>
      <c r="E153" s="5" t="s">
        <v>2608</v>
      </c>
      <c r="F153" s="5" t="s">
        <v>2190</v>
      </c>
      <c r="G153" s="5"/>
    </row>
    <row r="154" customFormat="false" ht="15" hidden="false" customHeight="false" outlineLevel="0" collapsed="false">
      <c r="A154" s="5" t="s">
        <v>2609</v>
      </c>
      <c r="B154" s="5" t="s">
        <v>2129</v>
      </c>
      <c r="C154" s="5" t="s">
        <v>2043</v>
      </c>
      <c r="D154" s="5" t="s">
        <v>2610</v>
      </c>
      <c r="E154" s="5" t="s">
        <v>2611</v>
      </c>
      <c r="F154" s="5" t="s">
        <v>2190</v>
      </c>
      <c r="G154" s="5"/>
    </row>
    <row r="155" customFormat="false" ht="23.85" hidden="false" customHeight="false" outlineLevel="0" collapsed="false">
      <c r="A155" s="5" t="s">
        <v>2612</v>
      </c>
      <c r="B155" s="5" t="s">
        <v>2129</v>
      </c>
      <c r="C155" s="5" t="s">
        <v>2047</v>
      </c>
      <c r="D155" s="5" t="s">
        <v>2613</v>
      </c>
      <c r="E155" s="5" t="s">
        <v>2614</v>
      </c>
      <c r="F155" s="5" t="s">
        <v>2190</v>
      </c>
      <c r="G155" s="5"/>
    </row>
    <row r="156" customFormat="false" ht="23.85" hidden="false" customHeight="false" outlineLevel="0" collapsed="false">
      <c r="A156" s="5" t="s">
        <v>2615</v>
      </c>
      <c r="B156" s="5" t="s">
        <v>2132</v>
      </c>
      <c r="C156" s="5" t="s">
        <v>2616</v>
      </c>
      <c r="D156" s="5" t="s">
        <v>2617</v>
      </c>
      <c r="E156" s="5" t="s">
        <v>2618</v>
      </c>
      <c r="F156" s="5" t="s">
        <v>2190</v>
      </c>
      <c r="G156" s="5" t="s">
        <v>2135</v>
      </c>
    </row>
    <row r="157" customFormat="false" ht="23.85" hidden="false" customHeight="false" outlineLevel="0" collapsed="false">
      <c r="A157" s="5" t="s">
        <v>2619</v>
      </c>
      <c r="B157" s="5" t="s">
        <v>2132</v>
      </c>
      <c r="C157" s="5" t="s">
        <v>2620</v>
      </c>
      <c r="D157" s="5" t="s">
        <v>2621</v>
      </c>
      <c r="E157" s="5" t="s">
        <v>2622</v>
      </c>
      <c r="F157" s="5" t="s">
        <v>2190</v>
      </c>
      <c r="G157" s="5" t="s">
        <v>2135</v>
      </c>
    </row>
    <row r="158" customFormat="false" ht="23.85" hidden="false" customHeight="false" outlineLevel="0" collapsed="false">
      <c r="A158" s="5" t="s">
        <v>2623</v>
      </c>
      <c r="B158" s="5" t="s">
        <v>2132</v>
      </c>
      <c r="C158" s="5" t="s">
        <v>2624</v>
      </c>
      <c r="D158" s="5" t="s">
        <v>2625</v>
      </c>
      <c r="E158" s="5" t="s">
        <v>2626</v>
      </c>
      <c r="F158" s="5" t="s">
        <v>2190</v>
      </c>
      <c r="G158" s="5" t="s">
        <v>2135</v>
      </c>
    </row>
    <row r="159" customFormat="false" ht="23.85" hidden="false" customHeight="false" outlineLevel="0" collapsed="false">
      <c r="A159" s="5" t="s">
        <v>2627</v>
      </c>
      <c r="B159" s="5" t="s">
        <v>2132</v>
      </c>
      <c r="C159" s="5" t="s">
        <v>2628</v>
      </c>
      <c r="D159" s="5" t="s">
        <v>2629</v>
      </c>
      <c r="E159" s="5" t="s">
        <v>2630</v>
      </c>
      <c r="F159" s="5" t="s">
        <v>2190</v>
      </c>
      <c r="G159" s="5" t="s">
        <v>2135</v>
      </c>
    </row>
    <row r="160" customFormat="false" ht="23.85" hidden="false" customHeight="false" outlineLevel="0" collapsed="false">
      <c r="A160" s="5" t="s">
        <v>2631</v>
      </c>
      <c r="B160" s="5" t="s">
        <v>2132</v>
      </c>
      <c r="C160" s="5" t="s">
        <v>2632</v>
      </c>
      <c r="D160" s="5" t="s">
        <v>2633</v>
      </c>
      <c r="E160" s="5" t="s">
        <v>2634</v>
      </c>
      <c r="F160" s="5" t="s">
        <v>2190</v>
      </c>
      <c r="G160" s="5" t="s">
        <v>2135</v>
      </c>
    </row>
    <row r="161" customFormat="false" ht="23.85" hidden="false" customHeight="false" outlineLevel="0" collapsed="false">
      <c r="A161" s="5" t="s">
        <v>2635</v>
      </c>
      <c r="B161" s="5" t="s">
        <v>2132</v>
      </c>
      <c r="C161" s="5" t="s">
        <v>2636</v>
      </c>
      <c r="D161" s="5" t="s">
        <v>2637</v>
      </c>
      <c r="E161" s="5" t="s">
        <v>2638</v>
      </c>
      <c r="F161" s="5" t="s">
        <v>2190</v>
      </c>
      <c r="G161" s="5" t="s">
        <v>2135</v>
      </c>
    </row>
    <row r="162" customFormat="false" ht="23.85" hidden="false" customHeight="false" outlineLevel="0" collapsed="false">
      <c r="A162" s="5" t="s">
        <v>2639</v>
      </c>
      <c r="B162" s="5" t="s">
        <v>2132</v>
      </c>
      <c r="C162" s="5" t="s">
        <v>2640</v>
      </c>
      <c r="D162" s="5" t="s">
        <v>2641</v>
      </c>
      <c r="E162" s="5" t="s">
        <v>2642</v>
      </c>
      <c r="F162" s="5" t="s">
        <v>2190</v>
      </c>
      <c r="G162" s="5" t="s">
        <v>2135</v>
      </c>
    </row>
    <row r="163" customFormat="false" ht="57.45" hidden="false" customHeight="false" outlineLevel="0" collapsed="false">
      <c r="A163" s="5" t="s">
        <v>2643</v>
      </c>
      <c r="B163" s="5" t="s">
        <v>2132</v>
      </c>
      <c r="C163" s="5" t="s">
        <v>2644</v>
      </c>
      <c r="D163" s="5" t="s">
        <v>2645</v>
      </c>
      <c r="E163" s="5" t="s">
        <v>2646</v>
      </c>
      <c r="F163" s="5" t="s">
        <v>2190</v>
      </c>
      <c r="G163" s="5" t="s">
        <v>2135</v>
      </c>
    </row>
    <row r="164" customFormat="false" ht="35.05" hidden="false" customHeight="false" outlineLevel="0" collapsed="false">
      <c r="A164" s="5" t="s">
        <v>2647</v>
      </c>
      <c r="B164" s="5" t="s">
        <v>2132</v>
      </c>
      <c r="C164" s="5" t="s">
        <v>2648</v>
      </c>
      <c r="D164" s="5" t="s">
        <v>2649</v>
      </c>
      <c r="E164" s="5" t="s">
        <v>2650</v>
      </c>
      <c r="F164" s="5" t="s">
        <v>2190</v>
      </c>
      <c r="G164" s="5" t="s">
        <v>2135</v>
      </c>
    </row>
    <row r="165" customFormat="false" ht="35.05" hidden="false" customHeight="false" outlineLevel="0" collapsed="false">
      <c r="A165" s="5" t="s">
        <v>2651</v>
      </c>
      <c r="B165" s="5" t="s">
        <v>2132</v>
      </c>
      <c r="C165" s="5" t="s">
        <v>2652</v>
      </c>
      <c r="D165" s="5" t="s">
        <v>2653</v>
      </c>
      <c r="E165" s="5" t="s">
        <v>2654</v>
      </c>
      <c r="F165" s="5" t="s">
        <v>2190</v>
      </c>
      <c r="G165" s="5" t="s">
        <v>2135</v>
      </c>
    </row>
    <row r="166" customFormat="false" ht="57.45" hidden="false" customHeight="false" outlineLevel="0" collapsed="false">
      <c r="A166" s="5" t="s">
        <v>2655</v>
      </c>
      <c r="B166" s="5" t="s">
        <v>2132</v>
      </c>
      <c r="C166" s="5" t="s">
        <v>2656</v>
      </c>
      <c r="D166" s="5" t="s">
        <v>2657</v>
      </c>
      <c r="E166" s="5" t="s">
        <v>2658</v>
      </c>
      <c r="F166" s="5" t="s">
        <v>2190</v>
      </c>
      <c r="G166" s="5" t="s">
        <v>2135</v>
      </c>
    </row>
    <row r="167" customFormat="false" ht="23.85" hidden="false" customHeight="false" outlineLevel="0" collapsed="false">
      <c r="A167" s="5" t="s">
        <v>2659</v>
      </c>
      <c r="B167" s="5" t="s">
        <v>2132</v>
      </c>
      <c r="C167" s="5" t="s">
        <v>2660</v>
      </c>
      <c r="D167" s="5" t="s">
        <v>2661</v>
      </c>
      <c r="E167" s="5" t="s">
        <v>2662</v>
      </c>
      <c r="F167" s="5" t="s">
        <v>2190</v>
      </c>
      <c r="G167" s="5" t="s">
        <v>2135</v>
      </c>
    </row>
    <row r="168" customFormat="false" ht="23.85" hidden="false" customHeight="false" outlineLevel="0" collapsed="false">
      <c r="A168" s="5" t="s">
        <v>2663</v>
      </c>
      <c r="B168" s="5" t="s">
        <v>2132</v>
      </c>
      <c r="C168" s="5" t="s">
        <v>2664</v>
      </c>
      <c r="D168" s="5" t="s">
        <v>2665</v>
      </c>
      <c r="E168" s="5" t="s">
        <v>2666</v>
      </c>
      <c r="F168" s="5" t="s">
        <v>2190</v>
      </c>
      <c r="G168" s="5" t="s">
        <v>2135</v>
      </c>
    </row>
    <row r="169" customFormat="false" ht="23.85" hidden="false" customHeight="false" outlineLevel="0" collapsed="false">
      <c r="A169" s="5" t="s">
        <v>2667</v>
      </c>
      <c r="B169" s="5" t="s">
        <v>2132</v>
      </c>
      <c r="C169" s="5" t="s">
        <v>2668</v>
      </c>
      <c r="D169" s="5" t="s">
        <v>2669</v>
      </c>
      <c r="E169" s="5" t="s">
        <v>2670</v>
      </c>
      <c r="F169" s="5" t="s">
        <v>2190</v>
      </c>
      <c r="G169" s="5" t="s">
        <v>2135</v>
      </c>
    </row>
    <row r="170" customFormat="false" ht="23.85" hidden="false" customHeight="false" outlineLevel="0" collapsed="false">
      <c r="A170" s="5" t="s">
        <v>2671</v>
      </c>
      <c r="B170" s="5" t="s">
        <v>2132</v>
      </c>
      <c r="C170" s="5" t="s">
        <v>2672</v>
      </c>
      <c r="D170" s="5" t="s">
        <v>2673</v>
      </c>
      <c r="E170" s="5" t="s">
        <v>2674</v>
      </c>
      <c r="F170" s="5" t="s">
        <v>2190</v>
      </c>
      <c r="G170" s="5" t="s">
        <v>2135</v>
      </c>
    </row>
    <row r="171" customFormat="false" ht="23.85" hidden="false" customHeight="false" outlineLevel="0" collapsed="false">
      <c r="A171" s="5" t="s">
        <v>2675</v>
      </c>
      <c r="B171" s="5" t="s">
        <v>2132</v>
      </c>
      <c r="C171" s="5" t="s">
        <v>2676</v>
      </c>
      <c r="D171" s="5" t="s">
        <v>2677</v>
      </c>
      <c r="E171" s="5" t="s">
        <v>2678</v>
      </c>
      <c r="F171" s="5" t="s">
        <v>2190</v>
      </c>
      <c r="G171" s="5" t="s">
        <v>2135</v>
      </c>
    </row>
    <row r="172" customFormat="false" ht="23.85" hidden="false" customHeight="false" outlineLevel="0" collapsed="false">
      <c r="A172" s="5" t="s">
        <v>2679</v>
      </c>
      <c r="B172" s="5" t="s">
        <v>2132</v>
      </c>
      <c r="C172" s="5" t="s">
        <v>1097</v>
      </c>
      <c r="D172" s="5" t="s">
        <v>2680</v>
      </c>
      <c r="E172" s="5" t="s">
        <v>2681</v>
      </c>
      <c r="F172" s="5" t="s">
        <v>2190</v>
      </c>
      <c r="G172" s="5" t="s">
        <v>2135</v>
      </c>
    </row>
    <row r="173" customFormat="false" ht="35.05" hidden="false" customHeight="false" outlineLevel="0" collapsed="false">
      <c r="A173" s="5" t="s">
        <v>2682</v>
      </c>
      <c r="B173" s="5" t="s">
        <v>2132</v>
      </c>
      <c r="C173" s="5" t="s">
        <v>2683</v>
      </c>
      <c r="D173" s="5" t="s">
        <v>2684</v>
      </c>
      <c r="E173" s="5" t="s">
        <v>2685</v>
      </c>
      <c r="F173" s="5" t="s">
        <v>2190</v>
      </c>
      <c r="G173" s="5" t="s">
        <v>2135</v>
      </c>
    </row>
    <row r="174" customFormat="false" ht="46.25" hidden="false" customHeight="false" outlineLevel="0" collapsed="false">
      <c r="A174" s="5" t="s">
        <v>2686</v>
      </c>
      <c r="B174" s="5" t="s">
        <v>2132</v>
      </c>
      <c r="C174" s="5" t="s">
        <v>2687</v>
      </c>
      <c r="D174" s="5" t="s">
        <v>2688</v>
      </c>
      <c r="E174" s="5" t="s">
        <v>2689</v>
      </c>
      <c r="F174" s="5" t="s">
        <v>2190</v>
      </c>
      <c r="G174" s="5" t="s">
        <v>2135</v>
      </c>
    </row>
    <row r="175" customFormat="false" ht="23.85" hidden="false" customHeight="false" outlineLevel="0" collapsed="false">
      <c r="A175" s="5" t="s">
        <v>2690</v>
      </c>
      <c r="B175" s="5" t="s">
        <v>2132</v>
      </c>
      <c r="C175" s="5" t="s">
        <v>2691</v>
      </c>
      <c r="D175" s="5" t="s">
        <v>2692</v>
      </c>
      <c r="E175" s="5" t="s">
        <v>2693</v>
      </c>
      <c r="F175" s="5" t="s">
        <v>2190</v>
      </c>
      <c r="G175" s="5" t="s">
        <v>2135</v>
      </c>
    </row>
    <row r="176" customFormat="false" ht="23.85" hidden="false" customHeight="false" outlineLevel="0" collapsed="false">
      <c r="A176" s="5" t="s">
        <v>2694</v>
      </c>
      <c r="B176" s="5" t="s">
        <v>2132</v>
      </c>
      <c r="C176" s="5" t="s">
        <v>2695</v>
      </c>
      <c r="D176" s="5" t="s">
        <v>2696</v>
      </c>
      <c r="E176" s="5" t="s">
        <v>2697</v>
      </c>
      <c r="F176" s="5" t="s">
        <v>2190</v>
      </c>
      <c r="G176" s="5" t="s">
        <v>2135</v>
      </c>
    </row>
    <row r="177" customFormat="false" ht="23.85" hidden="false" customHeight="false" outlineLevel="0" collapsed="false">
      <c r="A177" s="5" t="s">
        <v>2698</v>
      </c>
      <c r="B177" s="5" t="s">
        <v>2132</v>
      </c>
      <c r="C177" s="5" t="s">
        <v>2699</v>
      </c>
      <c r="D177" s="5" t="s">
        <v>2700</v>
      </c>
      <c r="E177" s="5" t="s">
        <v>2701</v>
      </c>
      <c r="F177" s="5" t="s">
        <v>2190</v>
      </c>
      <c r="G177" s="5" t="s">
        <v>2135</v>
      </c>
    </row>
    <row r="178" customFormat="false" ht="23.85" hidden="false" customHeight="false" outlineLevel="0" collapsed="false">
      <c r="A178" s="5" t="s">
        <v>2702</v>
      </c>
      <c r="B178" s="5" t="s">
        <v>2132</v>
      </c>
      <c r="C178" s="5" t="s">
        <v>2703</v>
      </c>
      <c r="D178" s="5" t="s">
        <v>2704</v>
      </c>
      <c r="E178" s="5" t="s">
        <v>2705</v>
      </c>
      <c r="F178" s="5" t="s">
        <v>2190</v>
      </c>
      <c r="G178" s="5" t="s">
        <v>2135</v>
      </c>
    </row>
    <row r="179" customFormat="false" ht="57.45" hidden="false" customHeight="false" outlineLevel="0" collapsed="false">
      <c r="A179" s="5" t="s">
        <v>2706</v>
      </c>
      <c r="B179" s="5" t="s">
        <v>2132</v>
      </c>
      <c r="C179" s="5" t="s">
        <v>2707</v>
      </c>
      <c r="D179" s="5" t="s">
        <v>2708</v>
      </c>
      <c r="E179" s="5" t="s">
        <v>2709</v>
      </c>
      <c r="F179" s="5" t="s">
        <v>2190</v>
      </c>
      <c r="G179" s="5" t="s">
        <v>2135</v>
      </c>
    </row>
    <row r="180" customFormat="false" ht="23.85" hidden="false" customHeight="false" outlineLevel="0" collapsed="false">
      <c r="A180" s="5" t="s">
        <v>2710</v>
      </c>
      <c r="B180" s="5" t="s">
        <v>2132</v>
      </c>
      <c r="C180" s="5" t="s">
        <v>2711</v>
      </c>
      <c r="D180" s="5" t="s">
        <v>2712</v>
      </c>
      <c r="E180" s="5" t="s">
        <v>2713</v>
      </c>
      <c r="F180" s="5" t="s">
        <v>2190</v>
      </c>
      <c r="G180" s="5" t="s">
        <v>2135</v>
      </c>
    </row>
    <row r="181" customFormat="false" ht="23.85" hidden="false" customHeight="false" outlineLevel="0" collapsed="false">
      <c r="A181" s="5" t="s">
        <v>2714</v>
      </c>
      <c r="B181" s="5" t="s">
        <v>2132</v>
      </c>
      <c r="C181" s="5" t="s">
        <v>858</v>
      </c>
      <c r="D181" s="5" t="s">
        <v>2715</v>
      </c>
      <c r="E181" s="5" t="s">
        <v>2716</v>
      </c>
      <c r="F181" s="5" t="s">
        <v>2190</v>
      </c>
      <c r="G181" s="5" t="s">
        <v>2135</v>
      </c>
    </row>
    <row r="182" customFormat="false" ht="23.85" hidden="false" customHeight="false" outlineLevel="0" collapsed="false">
      <c r="A182" s="5" t="s">
        <v>2717</v>
      </c>
      <c r="B182" s="5" t="s">
        <v>2132</v>
      </c>
      <c r="C182" s="5" t="s">
        <v>2718</v>
      </c>
      <c r="D182" s="5" t="s">
        <v>2719</v>
      </c>
      <c r="E182" s="5" t="s">
        <v>2720</v>
      </c>
      <c r="F182" s="5" t="s">
        <v>2190</v>
      </c>
      <c r="G182" s="5" t="s">
        <v>2135</v>
      </c>
    </row>
    <row r="183" customFormat="false" ht="46.25" hidden="false" customHeight="false" outlineLevel="0" collapsed="false">
      <c r="A183" s="5" t="s">
        <v>2721</v>
      </c>
      <c r="B183" s="5" t="s">
        <v>2132</v>
      </c>
      <c r="C183" s="5" t="s">
        <v>2722</v>
      </c>
      <c r="D183" s="5" t="s">
        <v>2723</v>
      </c>
      <c r="E183" s="5" t="s">
        <v>2724</v>
      </c>
      <c r="F183" s="5" t="s">
        <v>2190</v>
      </c>
      <c r="G183" s="5" t="s">
        <v>2135</v>
      </c>
    </row>
    <row r="184" customFormat="false" ht="23.85" hidden="false" customHeight="false" outlineLevel="0" collapsed="false">
      <c r="A184" s="5" t="s">
        <v>2725</v>
      </c>
      <c r="B184" s="5" t="s">
        <v>2132</v>
      </c>
      <c r="C184" s="5" t="s">
        <v>2726</v>
      </c>
      <c r="D184" s="5" t="s">
        <v>2727</v>
      </c>
      <c r="E184" s="5" t="s">
        <v>2728</v>
      </c>
      <c r="F184" s="5" t="s">
        <v>2190</v>
      </c>
      <c r="G184" s="5" t="s">
        <v>2135</v>
      </c>
    </row>
    <row r="185" customFormat="false" ht="15" hidden="false" customHeight="false" outlineLevel="0" collapsed="false">
      <c r="A185" s="5" t="s">
        <v>2729</v>
      </c>
      <c r="B185" s="5" t="s">
        <v>2173</v>
      </c>
      <c r="C185" s="5" t="s">
        <v>558</v>
      </c>
      <c r="D185" s="5" t="s">
        <v>2730</v>
      </c>
      <c r="E185" s="5" t="s">
        <v>2731</v>
      </c>
      <c r="F185" s="5" t="s">
        <v>2190</v>
      </c>
      <c r="G185" s="5"/>
    </row>
    <row r="186" customFormat="false" ht="15" hidden="false" customHeight="false" outlineLevel="0" collapsed="false">
      <c r="A186" s="5" t="s">
        <v>2732</v>
      </c>
      <c r="B186" s="5" t="s">
        <v>2173</v>
      </c>
      <c r="C186" s="5" t="s">
        <v>2733</v>
      </c>
      <c r="D186" s="5" t="s">
        <v>2734</v>
      </c>
      <c r="E186" s="5" t="s">
        <v>2735</v>
      </c>
      <c r="F186" s="5" t="s">
        <v>2190</v>
      </c>
      <c r="G186" s="5"/>
    </row>
    <row r="187" customFormat="false" ht="15" hidden="false" customHeight="false" outlineLevel="0" collapsed="false">
      <c r="A187" s="5" t="s">
        <v>2736</v>
      </c>
      <c r="B187" s="5" t="s">
        <v>2173</v>
      </c>
      <c r="C187" s="5" t="s">
        <v>691</v>
      </c>
      <c r="D187" s="5" t="s">
        <v>2737</v>
      </c>
      <c r="E187" s="5" t="s">
        <v>2738</v>
      </c>
      <c r="F187" s="5" t="s">
        <v>2190</v>
      </c>
      <c r="G187" s="5"/>
    </row>
    <row r="188" customFormat="false" ht="15" hidden="false" customHeight="false" outlineLevel="0" collapsed="false">
      <c r="A188" s="5" t="s">
        <v>2739</v>
      </c>
      <c r="B188" s="5" t="s">
        <v>2173</v>
      </c>
      <c r="C188" s="5" t="s">
        <v>2740</v>
      </c>
      <c r="D188" s="5" t="s">
        <v>2741</v>
      </c>
      <c r="E188" s="5" t="s">
        <v>2742</v>
      </c>
      <c r="F188" s="5" t="s">
        <v>2190</v>
      </c>
      <c r="G188" s="5"/>
    </row>
    <row r="189" customFormat="false" ht="46.25" hidden="false" customHeight="false" outlineLevel="0" collapsed="false">
      <c r="A189" s="5" t="s">
        <v>2743</v>
      </c>
      <c r="B189" s="5" t="s">
        <v>2173</v>
      </c>
      <c r="C189" s="5" t="s">
        <v>2744</v>
      </c>
      <c r="D189" s="5" t="s">
        <v>2745</v>
      </c>
      <c r="E189" s="5" t="s">
        <v>2746</v>
      </c>
      <c r="F189" s="5" t="s">
        <v>2190</v>
      </c>
      <c r="G189" s="5"/>
    </row>
    <row r="190" customFormat="false" ht="23.85" hidden="false" customHeight="false" outlineLevel="0" collapsed="false">
      <c r="A190" s="5" t="s">
        <v>2747</v>
      </c>
      <c r="B190" s="5" t="s">
        <v>2173</v>
      </c>
      <c r="C190" s="5" t="s">
        <v>2748</v>
      </c>
      <c r="D190" s="5" t="s">
        <v>2749</v>
      </c>
      <c r="E190" s="5" t="s">
        <v>2750</v>
      </c>
      <c r="F190" s="5" t="s">
        <v>2190</v>
      </c>
      <c r="G190" s="5"/>
    </row>
    <row r="191" customFormat="false" ht="68.65" hidden="false" customHeight="false" outlineLevel="0" collapsed="false">
      <c r="A191" s="5" t="s">
        <v>2751</v>
      </c>
      <c r="B191" s="5" t="s">
        <v>2173</v>
      </c>
      <c r="C191" s="5" t="s">
        <v>2752</v>
      </c>
      <c r="D191" s="5" t="s">
        <v>2753</v>
      </c>
      <c r="E191" s="5" t="s">
        <v>2754</v>
      </c>
      <c r="F191" s="5" t="s">
        <v>2190</v>
      </c>
      <c r="G191" s="5"/>
    </row>
    <row r="192" customFormat="false" ht="15" hidden="false" customHeight="false" outlineLevel="0" collapsed="false">
      <c r="A192" s="5" t="s">
        <v>2755</v>
      </c>
      <c r="B192" s="5" t="s">
        <v>2173</v>
      </c>
      <c r="C192" s="5" t="s">
        <v>2756</v>
      </c>
      <c r="D192" s="5" t="s">
        <v>2757</v>
      </c>
      <c r="E192" s="5" t="s">
        <v>2758</v>
      </c>
      <c r="F192" s="5" t="s">
        <v>2190</v>
      </c>
      <c r="G192" s="5"/>
    </row>
    <row r="193" customFormat="false" ht="15" hidden="false" customHeight="false" outlineLevel="0" collapsed="false">
      <c r="A193" s="5" t="s">
        <v>2759</v>
      </c>
      <c r="B193" s="5" t="s">
        <v>2173</v>
      </c>
      <c r="C193" s="5" t="s">
        <v>2760</v>
      </c>
      <c r="D193" s="5" t="s">
        <v>2761</v>
      </c>
      <c r="E193" s="5" t="s">
        <v>2762</v>
      </c>
      <c r="F193" s="5" t="s">
        <v>2190</v>
      </c>
      <c r="G193" s="5"/>
    </row>
    <row r="194" customFormat="false" ht="23.85" hidden="false" customHeight="false" outlineLevel="0" collapsed="false">
      <c r="A194" s="5" t="s">
        <v>2763</v>
      </c>
      <c r="B194" s="5" t="s">
        <v>2173</v>
      </c>
      <c r="C194" s="5" t="s">
        <v>2764</v>
      </c>
      <c r="D194" s="5" t="s">
        <v>2765</v>
      </c>
      <c r="E194" s="5" t="s">
        <v>2766</v>
      </c>
      <c r="F194" s="5" t="s">
        <v>2190</v>
      </c>
      <c r="G194" s="5"/>
    </row>
    <row r="195" customFormat="false" ht="23.85" hidden="false" customHeight="false" outlineLevel="0" collapsed="false">
      <c r="A195" s="5" t="s">
        <v>2767</v>
      </c>
      <c r="B195" s="5" t="s">
        <v>2173</v>
      </c>
      <c r="C195" s="5" t="s">
        <v>2768</v>
      </c>
      <c r="D195" s="5" t="s">
        <v>2769</v>
      </c>
      <c r="E195" s="5" t="s">
        <v>2770</v>
      </c>
      <c r="F195" s="5" t="s">
        <v>2190</v>
      </c>
      <c r="G195" s="5"/>
    </row>
    <row r="196" customFormat="false" ht="15" hidden="false" customHeight="false" outlineLevel="0" collapsed="false">
      <c r="A196" s="5" t="s">
        <v>2771</v>
      </c>
      <c r="B196" s="5" t="s">
        <v>2173</v>
      </c>
      <c r="C196" s="5" t="s">
        <v>2772</v>
      </c>
      <c r="D196" s="5" t="s">
        <v>2773</v>
      </c>
      <c r="E196" s="5" t="s">
        <v>2774</v>
      </c>
      <c r="F196" s="5" t="s">
        <v>2190</v>
      </c>
      <c r="G196" s="5"/>
    </row>
    <row r="197" customFormat="false" ht="23.85" hidden="false" customHeight="false" outlineLevel="0" collapsed="false">
      <c r="A197" s="5" t="s">
        <v>2775</v>
      </c>
      <c r="B197" s="5" t="s">
        <v>2173</v>
      </c>
      <c r="C197" s="5" t="s">
        <v>2776</v>
      </c>
      <c r="D197" s="5" t="s">
        <v>2777</v>
      </c>
      <c r="E197" s="5" t="s">
        <v>2778</v>
      </c>
      <c r="F197" s="5" t="s">
        <v>2190</v>
      </c>
      <c r="G197" s="5"/>
    </row>
    <row r="198" customFormat="false" ht="23.85" hidden="false" customHeight="false" outlineLevel="0" collapsed="false">
      <c r="A198" s="5" t="s">
        <v>2779</v>
      </c>
      <c r="B198" s="5" t="s">
        <v>2173</v>
      </c>
      <c r="C198" s="5" t="s">
        <v>2780</v>
      </c>
      <c r="D198" s="5" t="s">
        <v>2781</v>
      </c>
      <c r="E198" s="5" t="s">
        <v>2782</v>
      </c>
      <c r="F198" s="5" t="s">
        <v>2190</v>
      </c>
      <c r="G198" s="5"/>
    </row>
    <row r="199" customFormat="false" ht="23.85" hidden="false" customHeight="false" outlineLevel="0" collapsed="false">
      <c r="A199" s="5" t="s">
        <v>2783</v>
      </c>
      <c r="B199" s="5" t="s">
        <v>2173</v>
      </c>
      <c r="C199" s="5" t="s">
        <v>2784</v>
      </c>
      <c r="D199" s="5" t="s">
        <v>2785</v>
      </c>
      <c r="E199" s="5" t="s">
        <v>2786</v>
      </c>
      <c r="F199" s="5" t="s">
        <v>2190</v>
      </c>
      <c r="G199" s="5"/>
    </row>
    <row r="200" customFormat="false" ht="15" hidden="false" customHeight="false" outlineLevel="0" collapsed="false">
      <c r="A200" s="5" t="s">
        <v>2787</v>
      </c>
      <c r="B200" s="5" t="s">
        <v>2173</v>
      </c>
      <c r="C200" s="5" t="s">
        <v>2788</v>
      </c>
      <c r="D200" s="5" t="s">
        <v>2789</v>
      </c>
      <c r="E200" s="5" t="s">
        <v>2790</v>
      </c>
      <c r="F200" s="5" t="s">
        <v>2190</v>
      </c>
      <c r="G200" s="5"/>
    </row>
    <row r="201" customFormat="false" ht="15" hidden="false" customHeight="false" outlineLevel="0" collapsed="false">
      <c r="A201" s="5" t="s">
        <v>2791</v>
      </c>
      <c r="B201" s="5" t="s">
        <v>2173</v>
      </c>
      <c r="C201" s="5" t="s">
        <v>2792</v>
      </c>
      <c r="D201" s="5" t="s">
        <v>2793</v>
      </c>
      <c r="E201" s="5" t="s">
        <v>2794</v>
      </c>
      <c r="F201" s="5" t="s">
        <v>2190</v>
      </c>
      <c r="G201" s="5"/>
    </row>
    <row r="202" customFormat="false" ht="135.8" hidden="false" customHeight="false" outlineLevel="0" collapsed="false">
      <c r="A202" s="5" t="s">
        <v>2795</v>
      </c>
      <c r="B202" s="5" t="s">
        <v>2173</v>
      </c>
      <c r="C202" s="5" t="s">
        <v>568</v>
      </c>
      <c r="D202" s="5" t="s">
        <v>2796</v>
      </c>
      <c r="E202" s="5" t="s">
        <v>2797</v>
      </c>
      <c r="F202" s="5" t="s">
        <v>2190</v>
      </c>
      <c r="G202" s="5"/>
    </row>
    <row r="203" customFormat="false" ht="23.85" hidden="false" customHeight="false" outlineLevel="0" collapsed="false">
      <c r="A203" s="5" t="s">
        <v>2798</v>
      </c>
      <c r="B203" s="5" t="s">
        <v>2173</v>
      </c>
      <c r="C203" s="5" t="s">
        <v>2799</v>
      </c>
      <c r="D203" s="5" t="s">
        <v>2800</v>
      </c>
      <c r="E203" s="5" t="s">
        <v>2801</v>
      </c>
      <c r="F203" s="5" t="s">
        <v>2190</v>
      </c>
      <c r="G203" s="5"/>
    </row>
    <row r="204" customFormat="false" ht="23.85" hidden="false" customHeight="false" outlineLevel="0" collapsed="false">
      <c r="A204" s="5" t="s">
        <v>2802</v>
      </c>
      <c r="B204" s="5" t="s">
        <v>2173</v>
      </c>
      <c r="C204" s="5" t="s">
        <v>2803</v>
      </c>
      <c r="D204" s="5" t="s">
        <v>2804</v>
      </c>
      <c r="E204" s="5" t="s">
        <v>2805</v>
      </c>
      <c r="F204" s="5" t="s">
        <v>2190</v>
      </c>
      <c r="G204" s="5"/>
    </row>
    <row r="205" customFormat="false" ht="135.8" hidden="false" customHeight="false" outlineLevel="0" collapsed="false">
      <c r="A205" s="5" t="s">
        <v>2806</v>
      </c>
      <c r="B205" s="5" t="s">
        <v>2173</v>
      </c>
      <c r="C205" s="5" t="s">
        <v>2807</v>
      </c>
      <c r="D205" s="5" t="s">
        <v>2808</v>
      </c>
      <c r="E205" s="5" t="s">
        <v>2809</v>
      </c>
      <c r="F205" s="5" t="s">
        <v>2190</v>
      </c>
      <c r="G205" s="5"/>
    </row>
  </sheetData>
  <autoFilter ref="A4:G2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9"/>
    <col collapsed="false" customWidth="true" hidden="false" outlineLevel="0" max="4" min="4" style="0" width="34"/>
    <col collapsed="false" customWidth="true" hidden="false" outlineLevel="0" max="5" min="5" style="0" width="40"/>
    <col collapsed="false" customWidth="true" hidden="false" outlineLevel="0" max="6" min="6" style="0" width="52"/>
    <col collapsed="false" customWidth="true" hidden="false" outlineLevel="0" max="7" min="7" style="0" width="48"/>
    <col collapsed="false" customWidth="true" hidden="false" outlineLevel="0" max="8" min="8" style="0" width="34"/>
    <col collapsed="false" customWidth="true" hidden="false" outlineLevel="0" max="9" min="9" style="0" width="44"/>
    <col collapsed="false" customWidth="true" hidden="false" outlineLevel="0" max="10" min="10" style="0" width="7"/>
    <col collapsed="false" customWidth="true" hidden="false" outlineLevel="0" max="11" min="11" style="0" width="9"/>
    <col collapsed="false" customWidth="true" hidden="false" outlineLevel="0" max="12" min="12" style="0" width="26"/>
  </cols>
  <sheetData>
    <row r="1" customFormat="false" ht="17.35" hidden="false" customHeight="false" outlineLevel="0" collapsed="false">
      <c r="A1" s="9" t="s">
        <v>336</v>
      </c>
    </row>
    <row r="2" customFormat="false" ht="15" hidden="false" customHeight="false" outlineLevel="0" collapsed="false">
      <c r="A2" s="10" t="s">
        <v>2810</v>
      </c>
    </row>
    <row r="4" customFormat="false" ht="30" hidden="false" customHeight="true" outlineLevel="0" collapsed="false">
      <c r="A4" s="12" t="s">
        <v>2811</v>
      </c>
      <c r="B4" s="12" t="s">
        <v>2812</v>
      </c>
      <c r="C4" s="12" t="s">
        <v>139</v>
      </c>
      <c r="D4" s="12" t="s">
        <v>2813</v>
      </c>
      <c r="E4" s="12" t="s">
        <v>2814</v>
      </c>
      <c r="F4" s="12" t="s">
        <v>2815</v>
      </c>
      <c r="G4" s="12" t="s">
        <v>2816</v>
      </c>
      <c r="H4" s="12" t="s">
        <v>2817</v>
      </c>
      <c r="I4" s="12" t="s">
        <v>2818</v>
      </c>
      <c r="J4" s="12" t="s">
        <v>2819</v>
      </c>
      <c r="K4" s="12" t="s">
        <v>2820</v>
      </c>
      <c r="L4" s="12" t="s">
        <v>2821</v>
      </c>
    </row>
    <row r="5" customFormat="false" ht="35.05" hidden="false" customHeight="false" outlineLevel="0" collapsed="false">
      <c r="A5" s="5" t="s">
        <v>449</v>
      </c>
      <c r="B5" s="13" t="s">
        <v>2822</v>
      </c>
      <c r="C5" s="5" t="s">
        <v>265</v>
      </c>
      <c r="D5" s="5" t="s">
        <v>2823</v>
      </c>
      <c r="E5" s="5" t="s">
        <v>2824</v>
      </c>
      <c r="F5" s="5" t="s">
        <v>2825</v>
      </c>
      <c r="G5" s="5" t="s">
        <v>2826</v>
      </c>
      <c r="H5" s="5" t="s">
        <v>2827</v>
      </c>
      <c r="I5" s="5" t="s">
        <v>2828</v>
      </c>
      <c r="J5" s="5" t="s">
        <v>2829</v>
      </c>
      <c r="K5" s="5" t="s">
        <v>450</v>
      </c>
      <c r="L5" s="5" t="s">
        <v>2830</v>
      </c>
    </row>
    <row r="6" customFormat="false" ht="46.25" hidden="false" customHeight="false" outlineLevel="0" collapsed="false">
      <c r="A6" s="5" t="s">
        <v>701</v>
      </c>
      <c r="B6" s="13" t="s">
        <v>2822</v>
      </c>
      <c r="C6" s="5" t="s">
        <v>199</v>
      </c>
      <c r="D6" s="5" t="s">
        <v>2831</v>
      </c>
      <c r="E6" s="5" t="s">
        <v>2832</v>
      </c>
      <c r="F6" s="5" t="s">
        <v>2833</v>
      </c>
      <c r="G6" s="5" t="s">
        <v>2834</v>
      </c>
      <c r="H6" s="5" t="s">
        <v>2835</v>
      </c>
      <c r="I6" s="5" t="s">
        <v>2836</v>
      </c>
      <c r="J6" s="5" t="s">
        <v>2829</v>
      </c>
      <c r="K6" s="5" t="s">
        <v>2837</v>
      </c>
      <c r="L6" s="5" t="s">
        <v>2838</v>
      </c>
    </row>
    <row r="7" customFormat="false" ht="35.05" hidden="false" customHeight="false" outlineLevel="0" collapsed="false">
      <c r="A7" s="5" t="s">
        <v>2839</v>
      </c>
      <c r="B7" s="14" t="s">
        <v>2840</v>
      </c>
      <c r="C7" s="5" t="s">
        <v>472</v>
      </c>
      <c r="D7" s="5" t="s">
        <v>2841</v>
      </c>
      <c r="E7" s="5" t="s">
        <v>2842</v>
      </c>
      <c r="F7" s="5" t="s">
        <v>2843</v>
      </c>
      <c r="G7" s="5" t="s">
        <v>2844</v>
      </c>
      <c r="H7" s="5" t="s">
        <v>2845</v>
      </c>
      <c r="I7" s="5" t="s">
        <v>2846</v>
      </c>
      <c r="J7" s="5" t="s">
        <v>2847</v>
      </c>
      <c r="K7" s="5" t="s">
        <v>2848</v>
      </c>
      <c r="L7" s="5" t="s">
        <v>2849</v>
      </c>
    </row>
    <row r="8" customFormat="false" ht="35.05" hidden="false" customHeight="false" outlineLevel="0" collapsed="false">
      <c r="A8" s="5" t="s">
        <v>2850</v>
      </c>
      <c r="B8" s="14" t="s">
        <v>2840</v>
      </c>
      <c r="C8" s="5" t="s">
        <v>252</v>
      </c>
      <c r="D8" s="5" t="s">
        <v>2851</v>
      </c>
      <c r="E8" s="5" t="s">
        <v>2852</v>
      </c>
      <c r="F8" s="5" t="s">
        <v>2853</v>
      </c>
      <c r="G8" s="5" t="s">
        <v>2854</v>
      </c>
      <c r="H8" s="5" t="s">
        <v>2855</v>
      </c>
      <c r="I8" s="5" t="s">
        <v>2856</v>
      </c>
      <c r="J8" s="5" t="s">
        <v>2857</v>
      </c>
      <c r="K8" s="5" t="s">
        <v>2858</v>
      </c>
      <c r="L8" s="5" t="s">
        <v>2849</v>
      </c>
    </row>
    <row r="9" customFormat="false" ht="23.85" hidden="false" customHeight="false" outlineLevel="0" collapsed="false">
      <c r="A9" s="5" t="s">
        <v>2859</v>
      </c>
      <c r="B9" s="14" t="s">
        <v>2840</v>
      </c>
      <c r="C9" s="5" t="s">
        <v>252</v>
      </c>
      <c r="D9" s="5" t="s">
        <v>2860</v>
      </c>
      <c r="E9" s="5" t="s">
        <v>2861</v>
      </c>
      <c r="F9" s="5" t="s">
        <v>2862</v>
      </c>
      <c r="G9" s="5" t="s">
        <v>2863</v>
      </c>
      <c r="H9" s="5" t="s">
        <v>2864</v>
      </c>
      <c r="I9" s="5" t="s">
        <v>2865</v>
      </c>
      <c r="J9" s="5" t="s">
        <v>2829</v>
      </c>
      <c r="K9" s="5" t="s">
        <v>2866</v>
      </c>
      <c r="L9" s="5" t="s">
        <v>2849</v>
      </c>
    </row>
    <row r="10" customFormat="false" ht="35.05" hidden="false" customHeight="false" outlineLevel="0" collapsed="false">
      <c r="A10" s="5" t="s">
        <v>2867</v>
      </c>
      <c r="B10" s="15" t="s">
        <v>2868</v>
      </c>
      <c r="C10" s="5" t="s">
        <v>252</v>
      </c>
      <c r="D10" s="5" t="s">
        <v>2869</v>
      </c>
      <c r="E10" s="5" t="s">
        <v>2870</v>
      </c>
      <c r="F10" s="5" t="s">
        <v>2871</v>
      </c>
      <c r="G10" s="5" t="s">
        <v>2872</v>
      </c>
      <c r="H10" s="5" t="s">
        <v>2873</v>
      </c>
      <c r="I10" s="5" t="s">
        <v>2874</v>
      </c>
      <c r="J10" s="5" t="s">
        <v>2829</v>
      </c>
      <c r="K10" s="5" t="s">
        <v>2866</v>
      </c>
      <c r="L10" s="5" t="s">
        <v>2875</v>
      </c>
    </row>
    <row r="11" customFormat="false" ht="35.05" hidden="false" customHeight="false" outlineLevel="0" collapsed="false">
      <c r="A11" s="5" t="s">
        <v>375</v>
      </c>
      <c r="B11" s="14" t="s">
        <v>2840</v>
      </c>
      <c r="C11" s="5" t="s">
        <v>150</v>
      </c>
      <c r="D11" s="5" t="s">
        <v>2876</v>
      </c>
      <c r="E11" s="5" t="s">
        <v>2877</v>
      </c>
      <c r="F11" s="5" t="s">
        <v>2878</v>
      </c>
      <c r="G11" s="5" t="s">
        <v>2879</v>
      </c>
      <c r="H11" s="5" t="s">
        <v>2880</v>
      </c>
      <c r="I11" s="5" t="s">
        <v>2881</v>
      </c>
      <c r="J11" s="5" t="s">
        <v>2829</v>
      </c>
      <c r="K11" s="5" t="s">
        <v>422</v>
      </c>
      <c r="L11" s="5" t="s">
        <v>2849</v>
      </c>
    </row>
    <row r="12" customFormat="false" ht="46.25" hidden="false" customHeight="false" outlineLevel="0" collapsed="false">
      <c r="A12" s="5" t="s">
        <v>358</v>
      </c>
      <c r="B12" s="15" t="s">
        <v>2868</v>
      </c>
      <c r="C12" s="5" t="s">
        <v>150</v>
      </c>
      <c r="D12" s="5" t="s">
        <v>2882</v>
      </c>
      <c r="E12" s="5" t="s">
        <v>2883</v>
      </c>
      <c r="F12" s="5" t="s">
        <v>2884</v>
      </c>
      <c r="G12" s="5" t="s">
        <v>2885</v>
      </c>
      <c r="H12" s="5" t="s">
        <v>2886</v>
      </c>
      <c r="I12" s="5" t="s">
        <v>2887</v>
      </c>
      <c r="J12" s="5" t="s">
        <v>2847</v>
      </c>
      <c r="K12" s="5" t="s">
        <v>422</v>
      </c>
      <c r="L12" s="5" t="s">
        <v>2849</v>
      </c>
    </row>
    <row r="13" customFormat="false" ht="46.25" hidden="false" customHeight="false" outlineLevel="0" collapsed="false">
      <c r="A13" s="5" t="s">
        <v>384</v>
      </c>
      <c r="B13" s="15" t="s">
        <v>2868</v>
      </c>
      <c r="C13" s="5" t="s">
        <v>145</v>
      </c>
      <c r="D13" s="5" t="s">
        <v>2888</v>
      </c>
      <c r="E13" s="5" t="s">
        <v>2889</v>
      </c>
      <c r="F13" s="5" t="s">
        <v>2890</v>
      </c>
      <c r="G13" s="5" t="s">
        <v>2891</v>
      </c>
      <c r="H13" s="5" t="s">
        <v>2892</v>
      </c>
      <c r="I13" s="5" t="s">
        <v>2893</v>
      </c>
      <c r="J13" s="5" t="s">
        <v>2829</v>
      </c>
      <c r="K13" s="5" t="s">
        <v>2894</v>
      </c>
      <c r="L13" s="5" t="s">
        <v>2849</v>
      </c>
    </row>
    <row r="14" customFormat="false" ht="35.05" hidden="false" customHeight="false" outlineLevel="0" collapsed="false">
      <c r="A14" s="5" t="s">
        <v>799</v>
      </c>
      <c r="B14" s="15" t="s">
        <v>2868</v>
      </c>
      <c r="C14" s="5" t="s">
        <v>145</v>
      </c>
      <c r="D14" s="5" t="s">
        <v>2895</v>
      </c>
      <c r="E14" s="5" t="s">
        <v>2896</v>
      </c>
      <c r="F14" s="5" t="s">
        <v>2897</v>
      </c>
      <c r="G14" s="5" t="s">
        <v>2898</v>
      </c>
      <c r="H14" s="5" t="s">
        <v>2899</v>
      </c>
      <c r="I14" s="5" t="s">
        <v>2900</v>
      </c>
      <c r="J14" s="5" t="s">
        <v>2847</v>
      </c>
      <c r="K14" s="5" t="s">
        <v>2901</v>
      </c>
      <c r="L14" s="5" t="s">
        <v>2849</v>
      </c>
    </row>
    <row r="15" customFormat="false" ht="23.85" hidden="false" customHeight="false" outlineLevel="0" collapsed="false">
      <c r="A15" s="5" t="s">
        <v>845</v>
      </c>
      <c r="B15" s="15" t="s">
        <v>2868</v>
      </c>
      <c r="C15" s="5" t="s">
        <v>404</v>
      </c>
      <c r="D15" s="5" t="s">
        <v>2902</v>
      </c>
      <c r="E15" s="5" t="s">
        <v>2903</v>
      </c>
      <c r="F15" s="5" t="s">
        <v>2904</v>
      </c>
      <c r="G15" s="5" t="s">
        <v>2905</v>
      </c>
      <c r="H15" s="5" t="s">
        <v>2906</v>
      </c>
      <c r="I15" s="5" t="s">
        <v>2907</v>
      </c>
      <c r="J15" s="5" t="s">
        <v>2857</v>
      </c>
      <c r="K15" s="5" t="s">
        <v>2901</v>
      </c>
      <c r="L15" s="5" t="s">
        <v>2849</v>
      </c>
    </row>
    <row r="16" customFormat="false" ht="35.05" hidden="false" customHeight="false" outlineLevel="0" collapsed="false">
      <c r="A16" s="5" t="s">
        <v>1100</v>
      </c>
      <c r="B16" s="16" t="s">
        <v>2908</v>
      </c>
      <c r="C16" s="5" t="s">
        <v>145</v>
      </c>
      <c r="D16" s="5" t="s">
        <v>2909</v>
      </c>
      <c r="E16" s="5" t="s">
        <v>2910</v>
      </c>
      <c r="F16" s="5" t="s">
        <v>2911</v>
      </c>
      <c r="G16" s="5" t="s">
        <v>2912</v>
      </c>
      <c r="H16" s="5" t="s">
        <v>2913</v>
      </c>
      <c r="I16" s="5" t="s">
        <v>2914</v>
      </c>
      <c r="J16" s="5" t="s">
        <v>2829</v>
      </c>
      <c r="K16" s="5" t="s">
        <v>2915</v>
      </c>
      <c r="L16" s="5" t="s">
        <v>2849</v>
      </c>
    </row>
    <row r="17" customFormat="false" ht="23.85" hidden="false" customHeight="false" outlineLevel="0" collapsed="false">
      <c r="A17" s="5" t="s">
        <v>2916</v>
      </c>
      <c r="B17" s="15" t="s">
        <v>2868</v>
      </c>
      <c r="C17" s="5" t="s">
        <v>397</v>
      </c>
      <c r="D17" s="5" t="s">
        <v>2917</v>
      </c>
      <c r="E17" s="5" t="s">
        <v>2918</v>
      </c>
      <c r="F17" s="5" t="s">
        <v>2919</v>
      </c>
      <c r="G17" s="5" t="s">
        <v>2920</v>
      </c>
      <c r="H17" s="5" t="s">
        <v>2921</v>
      </c>
      <c r="I17" s="5" t="s">
        <v>2922</v>
      </c>
      <c r="J17" s="5" t="s">
        <v>2847</v>
      </c>
      <c r="K17" s="5" t="s">
        <v>2923</v>
      </c>
      <c r="L17" s="5" t="s">
        <v>2849</v>
      </c>
    </row>
    <row r="18" customFormat="false" ht="35.05" hidden="false" customHeight="false" outlineLevel="0" collapsed="false">
      <c r="A18" s="5" t="s">
        <v>350</v>
      </c>
      <c r="B18" s="16" t="s">
        <v>2908</v>
      </c>
      <c r="C18" s="5" t="s">
        <v>404</v>
      </c>
      <c r="D18" s="5" t="s">
        <v>2924</v>
      </c>
      <c r="E18" s="5" t="s">
        <v>2925</v>
      </c>
      <c r="F18" s="5" t="s">
        <v>2926</v>
      </c>
      <c r="G18" s="5" t="s">
        <v>2927</v>
      </c>
      <c r="H18" s="5" t="s">
        <v>2928</v>
      </c>
      <c r="I18" s="5" t="s">
        <v>2929</v>
      </c>
      <c r="J18" s="5" t="s">
        <v>2829</v>
      </c>
      <c r="K18" s="5" t="s">
        <v>2930</v>
      </c>
      <c r="L18" s="5" t="s">
        <v>2849</v>
      </c>
    </row>
    <row r="19" customFormat="false" ht="23.85" hidden="false" customHeight="false" outlineLevel="0" collapsed="false">
      <c r="A19" s="5" t="s">
        <v>602</v>
      </c>
      <c r="B19" s="15" t="s">
        <v>2868</v>
      </c>
      <c r="C19" s="5" t="s">
        <v>168</v>
      </c>
      <c r="D19" s="5" t="s">
        <v>2931</v>
      </c>
      <c r="E19" s="5" t="s">
        <v>2932</v>
      </c>
      <c r="F19" s="5" t="s">
        <v>2933</v>
      </c>
      <c r="G19" s="5" t="s">
        <v>2934</v>
      </c>
      <c r="H19" s="5" t="s">
        <v>2935</v>
      </c>
      <c r="I19" s="5" t="s">
        <v>2936</v>
      </c>
      <c r="J19" s="5" t="s">
        <v>2847</v>
      </c>
      <c r="K19" s="5" t="s">
        <v>2937</v>
      </c>
      <c r="L19" s="5" t="s">
        <v>2849</v>
      </c>
    </row>
    <row r="20" customFormat="false" ht="35.05" hidden="false" customHeight="false" outlineLevel="0" collapsed="false">
      <c r="A20" s="5" t="s">
        <v>354</v>
      </c>
      <c r="B20" s="16" t="s">
        <v>2908</v>
      </c>
      <c r="C20" s="5" t="s">
        <v>404</v>
      </c>
      <c r="D20" s="5" t="s">
        <v>2938</v>
      </c>
      <c r="E20" s="5" t="s">
        <v>2939</v>
      </c>
      <c r="F20" s="5" t="s">
        <v>2940</v>
      </c>
      <c r="G20" s="5" t="s">
        <v>2941</v>
      </c>
      <c r="H20" s="5" t="s">
        <v>2942</v>
      </c>
      <c r="I20" s="5" t="s">
        <v>2943</v>
      </c>
      <c r="J20" s="5" t="s">
        <v>2829</v>
      </c>
      <c r="K20" s="5" t="s">
        <v>2944</v>
      </c>
      <c r="L20" s="5" t="s">
        <v>2849</v>
      </c>
    </row>
    <row r="21" customFormat="false" ht="23.85" hidden="false" customHeight="false" outlineLevel="0" collapsed="false">
      <c r="A21" s="5" t="s">
        <v>346</v>
      </c>
      <c r="B21" s="16" t="s">
        <v>2908</v>
      </c>
      <c r="C21" s="5" t="s">
        <v>177</v>
      </c>
      <c r="D21" s="5" t="s">
        <v>2945</v>
      </c>
      <c r="E21" s="5" t="s">
        <v>2946</v>
      </c>
      <c r="F21" s="5" t="s">
        <v>2947</v>
      </c>
      <c r="G21" s="5" t="s">
        <v>2948</v>
      </c>
      <c r="H21" s="5" t="s">
        <v>2949</v>
      </c>
      <c r="I21" s="5" t="s">
        <v>2950</v>
      </c>
      <c r="J21" s="5" t="s">
        <v>2829</v>
      </c>
      <c r="K21" s="5" t="s">
        <v>2951</v>
      </c>
      <c r="L21" s="5" t="s">
        <v>2849</v>
      </c>
    </row>
    <row r="22" customFormat="false" ht="35.05" hidden="false" customHeight="false" outlineLevel="0" collapsed="false">
      <c r="A22" s="5" t="s">
        <v>2952</v>
      </c>
      <c r="B22" s="16" t="s">
        <v>2908</v>
      </c>
      <c r="C22" s="5" t="s">
        <v>303</v>
      </c>
      <c r="D22" s="5" t="s">
        <v>2953</v>
      </c>
      <c r="E22" s="5" t="s">
        <v>2954</v>
      </c>
      <c r="F22" s="5" t="s">
        <v>2955</v>
      </c>
      <c r="G22" s="5" t="s">
        <v>2956</v>
      </c>
      <c r="H22" s="5" t="s">
        <v>2957</v>
      </c>
      <c r="I22" s="5" t="s">
        <v>2958</v>
      </c>
      <c r="J22" s="5" t="s">
        <v>2829</v>
      </c>
      <c r="K22" s="5" t="s">
        <v>2951</v>
      </c>
      <c r="L22" s="5" t="s">
        <v>2959</v>
      </c>
    </row>
    <row r="23" customFormat="false" ht="46.25" hidden="false" customHeight="false" outlineLevel="0" collapsed="false">
      <c r="A23" s="5" t="s">
        <v>2960</v>
      </c>
      <c r="B23" s="16" t="s">
        <v>2908</v>
      </c>
      <c r="C23" s="5" t="s">
        <v>397</v>
      </c>
      <c r="D23" s="5" t="s">
        <v>2961</v>
      </c>
      <c r="E23" s="5" t="s">
        <v>2962</v>
      </c>
      <c r="F23" s="5" t="s">
        <v>2963</v>
      </c>
      <c r="G23" s="5" t="s">
        <v>2964</v>
      </c>
      <c r="H23" s="5" t="s">
        <v>2965</v>
      </c>
      <c r="I23" s="5" t="s">
        <v>2966</v>
      </c>
      <c r="J23" s="5" t="s">
        <v>2829</v>
      </c>
      <c r="K23" s="5" t="s">
        <v>2967</v>
      </c>
      <c r="L23" s="5" t="s">
        <v>2849</v>
      </c>
    </row>
    <row r="24" customFormat="false" ht="35.05" hidden="false" customHeight="false" outlineLevel="0" collapsed="false">
      <c r="A24" s="5" t="s">
        <v>2968</v>
      </c>
      <c r="B24" s="16" t="s">
        <v>2908</v>
      </c>
      <c r="C24" s="5" t="s">
        <v>472</v>
      </c>
      <c r="D24" s="5" t="s">
        <v>2969</v>
      </c>
      <c r="E24" s="5" t="s">
        <v>11</v>
      </c>
      <c r="F24" s="5" t="s">
        <v>2970</v>
      </c>
      <c r="G24" s="5" t="s">
        <v>2971</v>
      </c>
      <c r="H24" s="5" t="s">
        <v>2972</v>
      </c>
      <c r="I24" s="5" t="s">
        <v>2973</v>
      </c>
      <c r="J24" s="5" t="s">
        <v>2829</v>
      </c>
      <c r="K24" s="5" t="s">
        <v>2951</v>
      </c>
      <c r="L24" s="5" t="s">
        <v>2849</v>
      </c>
    </row>
    <row r="25" customFormat="false" ht="46.25" hidden="false" customHeight="false" outlineLevel="0" collapsed="false">
      <c r="A25" s="5" t="s">
        <v>2974</v>
      </c>
      <c r="B25" s="15" t="s">
        <v>2868</v>
      </c>
      <c r="C25" s="5" t="s">
        <v>252</v>
      </c>
      <c r="D25" s="5" t="s">
        <v>2975</v>
      </c>
      <c r="E25" s="5" t="s">
        <v>2976</v>
      </c>
      <c r="F25" s="5" t="s">
        <v>2977</v>
      </c>
      <c r="G25" s="5" t="s">
        <v>2978</v>
      </c>
      <c r="H25" s="5" t="s">
        <v>2979</v>
      </c>
      <c r="I25" s="5" t="s">
        <v>2980</v>
      </c>
      <c r="J25" s="5" t="s">
        <v>2829</v>
      </c>
      <c r="K25" s="5" t="s">
        <v>2866</v>
      </c>
      <c r="L25" s="5" t="s">
        <v>2981</v>
      </c>
    </row>
    <row r="26" customFormat="false" ht="35.05" hidden="false" customHeight="false" outlineLevel="0" collapsed="false">
      <c r="A26" s="5" t="s">
        <v>2982</v>
      </c>
      <c r="B26" s="16" t="s">
        <v>2908</v>
      </c>
      <c r="C26" s="5" t="s">
        <v>252</v>
      </c>
      <c r="D26" s="5" t="s">
        <v>2983</v>
      </c>
      <c r="E26" s="5" t="s">
        <v>2984</v>
      </c>
      <c r="F26" s="5" t="s">
        <v>2985</v>
      </c>
      <c r="G26" s="5" t="s">
        <v>2986</v>
      </c>
      <c r="H26" s="5" t="s">
        <v>2987</v>
      </c>
      <c r="I26" s="5" t="s">
        <v>2988</v>
      </c>
      <c r="J26" s="5" t="s">
        <v>2829</v>
      </c>
      <c r="K26" s="5" t="s">
        <v>2866</v>
      </c>
      <c r="L26" s="5" t="s">
        <v>2981</v>
      </c>
    </row>
    <row r="27" customFormat="false" ht="46.25" hidden="false" customHeight="false" outlineLevel="0" collapsed="false">
      <c r="A27" s="5" t="s">
        <v>470</v>
      </c>
      <c r="B27" s="14" t="s">
        <v>2840</v>
      </c>
      <c r="C27" s="5" t="s">
        <v>308</v>
      </c>
      <c r="D27" s="5" t="s">
        <v>2989</v>
      </c>
      <c r="E27" s="5" t="s">
        <v>2990</v>
      </c>
      <c r="F27" s="5" t="s">
        <v>2991</v>
      </c>
      <c r="G27" s="5" t="s">
        <v>2992</v>
      </c>
      <c r="H27" s="5" t="s">
        <v>2993</v>
      </c>
      <c r="I27" s="5" t="s">
        <v>2994</v>
      </c>
      <c r="J27" s="5" t="s">
        <v>2847</v>
      </c>
      <c r="K27" s="5" t="s">
        <v>471</v>
      </c>
      <c r="L27" s="5" t="s">
        <v>2849</v>
      </c>
    </row>
    <row r="28" customFormat="false" ht="35.05" hidden="false" customHeight="false" outlineLevel="0" collapsed="false">
      <c r="A28" s="5" t="s">
        <v>707</v>
      </c>
      <c r="B28" s="15" t="s">
        <v>2868</v>
      </c>
      <c r="C28" s="5" t="s">
        <v>199</v>
      </c>
      <c r="D28" s="5" t="s">
        <v>2995</v>
      </c>
      <c r="E28" s="5" t="s">
        <v>2996</v>
      </c>
      <c r="F28" s="5" t="s">
        <v>2997</v>
      </c>
      <c r="G28" s="5" t="s">
        <v>2998</v>
      </c>
      <c r="H28" s="5" t="s">
        <v>2999</v>
      </c>
      <c r="I28" s="5" t="s">
        <v>3000</v>
      </c>
      <c r="J28" s="5" t="s">
        <v>2847</v>
      </c>
      <c r="K28" s="5" t="s">
        <v>485</v>
      </c>
      <c r="L28" s="5" t="s">
        <v>2849</v>
      </c>
    </row>
    <row r="29" customFormat="false" ht="23.85" hidden="false" customHeight="false" outlineLevel="0" collapsed="false">
      <c r="A29" s="5" t="s">
        <v>3001</v>
      </c>
      <c r="B29" s="16" t="s">
        <v>2908</v>
      </c>
      <c r="C29" s="5" t="s">
        <v>252</v>
      </c>
      <c r="D29" s="5" t="s">
        <v>3002</v>
      </c>
      <c r="E29" s="5" t="s">
        <v>3003</v>
      </c>
      <c r="F29" s="5" t="s">
        <v>3004</v>
      </c>
      <c r="G29" s="5" t="s">
        <v>2185</v>
      </c>
      <c r="H29" s="5" t="s">
        <v>3005</v>
      </c>
      <c r="I29" s="5" t="s">
        <v>3006</v>
      </c>
      <c r="J29" s="5" t="s">
        <v>2829</v>
      </c>
      <c r="K29" s="5" t="s">
        <v>485</v>
      </c>
      <c r="L29" s="5" t="s">
        <v>2849</v>
      </c>
    </row>
    <row r="30" customFormat="false" ht="23.85" hidden="false" customHeight="false" outlineLevel="0" collapsed="false">
      <c r="A30" s="5" t="s">
        <v>859</v>
      </c>
      <c r="B30" s="16" t="s">
        <v>2908</v>
      </c>
      <c r="C30" s="5" t="s">
        <v>252</v>
      </c>
      <c r="D30" s="5" t="s">
        <v>3007</v>
      </c>
      <c r="E30" s="5" t="s">
        <v>3008</v>
      </c>
      <c r="F30" s="5" t="s">
        <v>3009</v>
      </c>
      <c r="G30" s="5" t="s">
        <v>3010</v>
      </c>
      <c r="H30" s="5" t="s">
        <v>3011</v>
      </c>
      <c r="I30" s="5" t="s">
        <v>3012</v>
      </c>
      <c r="J30" s="5" t="s">
        <v>2829</v>
      </c>
      <c r="K30" s="5" t="s">
        <v>3013</v>
      </c>
      <c r="L30" s="5" t="s">
        <v>2849</v>
      </c>
    </row>
    <row r="31" customFormat="false" ht="46.25" hidden="false" customHeight="false" outlineLevel="0" collapsed="false">
      <c r="A31" s="5" t="s">
        <v>484</v>
      </c>
      <c r="B31" s="16" t="s">
        <v>2908</v>
      </c>
      <c r="C31" s="5" t="s">
        <v>479</v>
      </c>
      <c r="D31" s="5" t="s">
        <v>3014</v>
      </c>
      <c r="E31" s="5" t="s">
        <v>3015</v>
      </c>
      <c r="F31" s="5" t="s">
        <v>3016</v>
      </c>
      <c r="G31" s="5" t="s">
        <v>3017</v>
      </c>
      <c r="H31" s="5" t="s">
        <v>3018</v>
      </c>
      <c r="I31" s="5" t="s">
        <v>3019</v>
      </c>
      <c r="J31" s="5" t="s">
        <v>2829</v>
      </c>
      <c r="K31" s="5" t="s">
        <v>485</v>
      </c>
      <c r="L31" s="5" t="s">
        <v>2849</v>
      </c>
    </row>
    <row r="32" customFormat="false" ht="23.85" hidden="false" customHeight="false" outlineLevel="0" collapsed="false">
      <c r="A32" s="5" t="s">
        <v>3020</v>
      </c>
      <c r="B32" s="15" t="s">
        <v>2868</v>
      </c>
      <c r="C32" s="5" t="s">
        <v>303</v>
      </c>
      <c r="D32" s="5" t="s">
        <v>3021</v>
      </c>
      <c r="E32" s="5" t="s">
        <v>3022</v>
      </c>
      <c r="F32" s="5" t="s">
        <v>3023</v>
      </c>
      <c r="G32" s="5" t="s">
        <v>3024</v>
      </c>
      <c r="H32" s="5" t="s">
        <v>3025</v>
      </c>
      <c r="I32" s="5" t="s">
        <v>3026</v>
      </c>
      <c r="J32" s="5" t="s">
        <v>2829</v>
      </c>
      <c r="K32" s="5" t="s">
        <v>3027</v>
      </c>
      <c r="L32" s="5" t="s">
        <v>2849</v>
      </c>
    </row>
    <row r="33" customFormat="false" ht="23.85" hidden="false" customHeight="false" outlineLevel="0" collapsed="false">
      <c r="A33" s="5" t="s">
        <v>3028</v>
      </c>
      <c r="B33" s="15" t="s">
        <v>2868</v>
      </c>
      <c r="C33" s="5" t="s">
        <v>177</v>
      </c>
      <c r="D33" s="5" t="s">
        <v>3029</v>
      </c>
      <c r="E33" s="5" t="s">
        <v>3030</v>
      </c>
      <c r="F33" s="5" t="s">
        <v>3031</v>
      </c>
      <c r="G33" s="5" t="s">
        <v>3032</v>
      </c>
      <c r="H33" s="5" t="s">
        <v>3033</v>
      </c>
      <c r="I33" s="5" t="s">
        <v>3034</v>
      </c>
      <c r="J33" s="5" t="s">
        <v>2829</v>
      </c>
      <c r="K33" s="5" t="s">
        <v>3035</v>
      </c>
      <c r="L33" s="5" t="s">
        <v>2849</v>
      </c>
    </row>
    <row r="34" customFormat="false" ht="23.85" hidden="false" customHeight="false" outlineLevel="0" collapsed="false">
      <c r="A34" s="5" t="s">
        <v>678</v>
      </c>
      <c r="B34" s="16" t="s">
        <v>2908</v>
      </c>
      <c r="C34" s="5" t="s">
        <v>168</v>
      </c>
      <c r="D34" s="5" t="s">
        <v>3036</v>
      </c>
      <c r="E34" s="5" t="s">
        <v>3037</v>
      </c>
      <c r="F34" s="5" t="s">
        <v>3038</v>
      </c>
      <c r="G34" s="5" t="s">
        <v>3039</v>
      </c>
      <c r="H34" s="5" t="s">
        <v>3040</v>
      </c>
      <c r="I34" s="5" t="s">
        <v>3041</v>
      </c>
      <c r="J34" s="5" t="s">
        <v>2829</v>
      </c>
      <c r="K34" s="5" t="s">
        <v>2967</v>
      </c>
      <c r="L34" s="5" t="s">
        <v>2849</v>
      </c>
    </row>
    <row r="35" customFormat="false" ht="23.85" hidden="false" customHeight="false" outlineLevel="0" collapsed="false">
      <c r="A35" s="5" t="s">
        <v>3042</v>
      </c>
      <c r="B35" s="16" t="s">
        <v>2908</v>
      </c>
      <c r="C35" s="5" t="s">
        <v>252</v>
      </c>
      <c r="D35" s="5" t="s">
        <v>3043</v>
      </c>
      <c r="E35" s="5" t="s">
        <v>3044</v>
      </c>
      <c r="F35" s="5" t="s">
        <v>3045</v>
      </c>
      <c r="G35" s="5" t="s">
        <v>3046</v>
      </c>
      <c r="H35" s="5" t="s">
        <v>3047</v>
      </c>
      <c r="I35" s="5" t="s">
        <v>3048</v>
      </c>
      <c r="J35" s="5" t="s">
        <v>2829</v>
      </c>
      <c r="K35" s="5" t="s">
        <v>2866</v>
      </c>
      <c r="L35" s="5" t="s">
        <v>2981</v>
      </c>
    </row>
  </sheetData>
  <autoFilter ref="A4:L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8"/>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8" min="7" style="0" width="10"/>
    <col collapsed="false" customWidth="true" hidden="false" outlineLevel="0" max="9" min="9" style="0" width="8"/>
    <col collapsed="false" customWidth="true" hidden="false" outlineLevel="0" max="10" min="10" style="0" width="10"/>
    <col collapsed="false" customWidth="true" hidden="false" outlineLevel="0" max="11" min="11" style="0" width="8"/>
    <col collapsed="false" customWidth="true" hidden="false" outlineLevel="0" max="12" min="12" style="0" width="7"/>
    <col collapsed="false" customWidth="true" hidden="false" outlineLevel="0" max="13" min="13" style="0" width="9"/>
    <col collapsed="false" customWidth="true" hidden="false" outlineLevel="0" max="14" min="14" style="0" width="22"/>
    <col collapsed="false" customWidth="true" hidden="false" outlineLevel="0" max="15" min="15" style="0" width="40"/>
    <col collapsed="false" customWidth="true" hidden="false" outlineLevel="0" max="16" min="16" style="0" width="30"/>
    <col collapsed="false" customWidth="true" hidden="false" outlineLevel="0" max="17" min="17" style="0" width="10"/>
    <col collapsed="false" customWidth="true" hidden="false" outlineLevel="0" max="18" min="18" style="0" width="12"/>
    <col collapsed="false" customWidth="true" hidden="false" outlineLevel="0" max="19" min="19" style="0" width="9"/>
    <col collapsed="false" customWidth="true" hidden="false" outlineLevel="0" max="20" min="20" style="0" width="30"/>
    <col collapsed="false" customWidth="true" hidden="false" outlineLevel="0" max="21" min="21" style="0" width="10"/>
    <col collapsed="false" customWidth="true" hidden="false" outlineLevel="0" max="22" min="22" style="0" width="9"/>
    <col collapsed="false" customWidth="true" hidden="false" outlineLevel="0" max="23" min="23" style="0" width="12"/>
  </cols>
  <sheetData>
    <row r="1" customFormat="false" ht="17.35" hidden="false" customHeight="false" outlineLevel="0" collapsed="false">
      <c r="A1" s="9" t="s">
        <v>3049</v>
      </c>
    </row>
    <row r="2" customFormat="false" ht="15" hidden="false" customHeight="false" outlineLevel="0" collapsed="false">
      <c r="A2" s="10" t="s">
        <v>3050</v>
      </c>
    </row>
    <row r="4" customFormat="false" ht="30" hidden="false" customHeight="true" outlineLevel="0" collapsed="false">
      <c r="A4" s="12" t="s">
        <v>3051</v>
      </c>
      <c r="B4" s="12" t="s">
        <v>3052</v>
      </c>
      <c r="C4" s="12" t="s">
        <v>3053</v>
      </c>
      <c r="D4" s="12" t="s">
        <v>3054</v>
      </c>
      <c r="E4" s="12" t="s">
        <v>3055</v>
      </c>
      <c r="F4" s="12" t="s">
        <v>3056</v>
      </c>
      <c r="G4" s="12" t="s">
        <v>3057</v>
      </c>
      <c r="H4" s="12" t="s">
        <v>3058</v>
      </c>
      <c r="I4" s="12" t="s">
        <v>3059</v>
      </c>
      <c r="J4" s="12" t="s">
        <v>3060</v>
      </c>
      <c r="K4" s="12" t="s">
        <v>3061</v>
      </c>
      <c r="L4" s="12" t="s">
        <v>3062</v>
      </c>
      <c r="M4" s="12" t="s">
        <v>3063</v>
      </c>
      <c r="N4" s="12" t="s">
        <v>3064</v>
      </c>
      <c r="O4" s="12" t="s">
        <v>3065</v>
      </c>
      <c r="P4" s="12" t="s">
        <v>3066</v>
      </c>
      <c r="Q4" s="12" t="s">
        <v>3067</v>
      </c>
      <c r="R4" s="12" t="s">
        <v>3068</v>
      </c>
      <c r="S4" s="12" t="s">
        <v>3069</v>
      </c>
      <c r="T4" s="12" t="s">
        <v>3070</v>
      </c>
      <c r="U4" s="12" t="s">
        <v>3071</v>
      </c>
      <c r="V4" s="12" t="s">
        <v>3072</v>
      </c>
      <c r="W4" s="12" t="s">
        <v>336</v>
      </c>
    </row>
    <row r="5" customFormat="false" ht="23.85" hidden="false" customHeight="false" outlineLevel="0" collapsed="false">
      <c r="A5" s="5" t="s">
        <v>3073</v>
      </c>
      <c r="B5" s="5" t="s">
        <v>1182</v>
      </c>
      <c r="C5" s="5" t="s">
        <v>3074</v>
      </c>
      <c r="D5" s="11" t="n">
        <v>1956236</v>
      </c>
      <c r="E5" s="5" t="n">
        <v>0</v>
      </c>
      <c r="F5" s="11" t="n">
        <f aca="false">D5*E5</f>
        <v>0</v>
      </c>
      <c r="G5" s="5" t="n">
        <v>0</v>
      </c>
      <c r="H5" s="5" t="n">
        <v>4096</v>
      </c>
      <c r="I5" s="5" t="n">
        <v>1</v>
      </c>
      <c r="J5" s="5" t="n">
        <v>85.3</v>
      </c>
      <c r="K5" s="5" t="n">
        <v>8.72</v>
      </c>
      <c r="L5" s="5" t="s">
        <v>182</v>
      </c>
      <c r="M5" s="5" t="n">
        <v>9</v>
      </c>
      <c r="N5" s="5" t="s">
        <v>3075</v>
      </c>
      <c r="O5" s="5" t="s">
        <v>3076</v>
      </c>
      <c r="P5" s="5"/>
      <c r="Q5" s="11"/>
      <c r="R5" s="11" t="str">
        <f aca="false">IF(Q5="","",Q5*E5)</f>
        <v/>
      </c>
      <c r="S5" s="5"/>
      <c r="T5" s="5"/>
      <c r="U5" s="11"/>
      <c r="V5" s="5"/>
      <c r="W5" s="5"/>
    </row>
    <row r="6" customFormat="false" ht="23.85" hidden="false" customHeight="false" outlineLevel="0" collapsed="false">
      <c r="A6" s="5" t="s">
        <v>3077</v>
      </c>
      <c r="B6" s="5" t="s">
        <v>937</v>
      </c>
      <c r="C6" s="5" t="s">
        <v>3074</v>
      </c>
      <c r="D6" s="11" t="n">
        <v>748456</v>
      </c>
      <c r="E6" s="5" t="n">
        <v>0</v>
      </c>
      <c r="F6" s="11" t="n">
        <f aca="false">D6*E6</f>
        <v>0</v>
      </c>
      <c r="G6" s="5" t="n">
        <v>0</v>
      </c>
      <c r="H6" s="5" t="n">
        <v>512</v>
      </c>
      <c r="I6" s="5" t="n">
        <v>3</v>
      </c>
      <c r="J6" s="5" t="n">
        <v>4</v>
      </c>
      <c r="K6" s="5" t="n">
        <v>2.32</v>
      </c>
      <c r="L6" s="5" t="s">
        <v>182</v>
      </c>
      <c r="M6" s="5" t="n">
        <v>1</v>
      </c>
      <c r="N6" s="5" t="s">
        <v>3078</v>
      </c>
      <c r="O6" s="5" t="s">
        <v>3079</v>
      </c>
      <c r="P6" s="5"/>
      <c r="Q6" s="11"/>
      <c r="R6" s="11" t="str">
        <f aca="false">IF(Q6="","",Q6*E6)</f>
        <v/>
      </c>
      <c r="S6" s="5"/>
      <c r="T6" s="5"/>
      <c r="U6" s="11"/>
      <c r="V6" s="5"/>
      <c r="W6" s="5"/>
    </row>
    <row r="7" customFormat="false" ht="15" hidden="false" customHeight="false" outlineLevel="0" collapsed="false">
      <c r="A7" s="5" t="s">
        <v>3080</v>
      </c>
      <c r="B7" s="5" t="s">
        <v>1184</v>
      </c>
      <c r="C7" s="5" t="s">
        <v>182</v>
      </c>
      <c r="D7" s="11" t="n">
        <v>245991</v>
      </c>
      <c r="E7" s="5" t="n">
        <v>1</v>
      </c>
      <c r="F7" s="11" t="n">
        <f aca="false">D7*E7</f>
        <v>245991</v>
      </c>
      <c r="G7" s="5" t="n">
        <v>1</v>
      </c>
      <c r="H7" s="5" t="n">
        <v>4096</v>
      </c>
      <c r="I7" s="5" t="n">
        <v>2</v>
      </c>
      <c r="J7" s="5" t="n">
        <v>170.6</v>
      </c>
      <c r="K7" s="5" t="n">
        <v>11.44</v>
      </c>
      <c r="L7" s="5" t="s">
        <v>182</v>
      </c>
      <c r="M7" s="5" t="n">
        <v>9</v>
      </c>
      <c r="N7" s="5" t="s">
        <v>3081</v>
      </c>
      <c r="O7" s="5" t="s">
        <v>3082</v>
      </c>
      <c r="P7" s="5"/>
      <c r="Q7" s="11"/>
      <c r="R7" s="11" t="str">
        <f aca="false">IF(Q7="","",Q7*E7)</f>
        <v/>
      </c>
      <c r="S7" s="5"/>
      <c r="T7" s="5"/>
      <c r="U7" s="11"/>
      <c r="V7" s="5"/>
      <c r="W7" s="5" t="s">
        <v>3028</v>
      </c>
    </row>
    <row r="8" customFormat="false" ht="46.25" hidden="false" customHeight="false" outlineLevel="0" collapsed="false">
      <c r="A8" s="5" t="s">
        <v>3083</v>
      </c>
      <c r="B8" s="5" t="s">
        <v>888</v>
      </c>
      <c r="C8" s="5" t="s">
        <v>3074</v>
      </c>
      <c r="D8" s="11" t="n">
        <v>245880</v>
      </c>
      <c r="E8" s="5" t="n">
        <v>0</v>
      </c>
      <c r="F8" s="11" t="n">
        <f aca="false">D8*E8</f>
        <v>0</v>
      </c>
      <c r="G8" s="5" t="n">
        <v>0</v>
      </c>
      <c r="H8" s="5" t="n">
        <v>4096</v>
      </c>
      <c r="I8" s="5" t="n">
        <v>1</v>
      </c>
      <c r="J8" s="5" t="n">
        <v>85.3</v>
      </c>
      <c r="K8" s="5" t="n">
        <v>1.45</v>
      </c>
      <c r="L8" s="5"/>
      <c r="M8" s="5" t="n">
        <v>0</v>
      </c>
      <c r="N8" s="5" t="s">
        <v>3084</v>
      </c>
      <c r="O8" s="5" t="s">
        <v>3085</v>
      </c>
      <c r="P8" s="5"/>
      <c r="Q8" s="11"/>
      <c r="R8" s="11" t="str">
        <f aca="false">IF(Q8="","",Q8*E8)</f>
        <v/>
      </c>
      <c r="S8" s="5"/>
      <c r="T8" s="5"/>
      <c r="U8" s="11"/>
      <c r="V8" s="5"/>
      <c r="W8" s="5" t="s">
        <v>701</v>
      </c>
    </row>
    <row r="9" customFormat="false" ht="23.85" hidden="false" customHeight="false" outlineLevel="0" collapsed="false">
      <c r="A9" s="5" t="s">
        <v>3086</v>
      </c>
      <c r="B9" s="5" t="s">
        <v>1800</v>
      </c>
      <c r="C9" s="5" t="s">
        <v>3074</v>
      </c>
      <c r="D9" s="11" t="n">
        <v>136410</v>
      </c>
      <c r="E9" s="5" t="n">
        <v>0</v>
      </c>
      <c r="F9" s="11" t="n">
        <f aca="false">D9*E9</f>
        <v>0</v>
      </c>
      <c r="G9" s="5" t="n">
        <v>0</v>
      </c>
      <c r="H9" s="5" t="n">
        <v>4096</v>
      </c>
      <c r="I9" s="5" t="n">
        <v>2</v>
      </c>
      <c r="J9" s="5" t="n">
        <v>170.6</v>
      </c>
      <c r="K9" s="5" t="n">
        <v>6.97</v>
      </c>
      <c r="L9" s="5"/>
      <c r="M9" s="5" t="n">
        <v>0</v>
      </c>
      <c r="N9" s="5" t="s">
        <v>1092</v>
      </c>
      <c r="O9" s="5" t="s">
        <v>3079</v>
      </c>
      <c r="P9" s="5"/>
      <c r="Q9" s="11"/>
      <c r="R9" s="11" t="str">
        <f aca="false">IF(Q9="","",Q9*E9)</f>
        <v/>
      </c>
      <c r="S9" s="5"/>
      <c r="T9" s="5"/>
      <c r="U9" s="11"/>
      <c r="V9" s="5"/>
      <c r="W9" s="5"/>
    </row>
    <row r="10" customFormat="false" ht="23.85" hidden="false" customHeight="false" outlineLevel="0" collapsed="false">
      <c r="A10" s="5" t="s">
        <v>3087</v>
      </c>
      <c r="B10" s="5" t="s">
        <v>930</v>
      </c>
      <c r="C10" s="5" t="s">
        <v>3074</v>
      </c>
      <c r="D10" s="11" t="n">
        <v>112898</v>
      </c>
      <c r="E10" s="5" t="n">
        <v>0</v>
      </c>
      <c r="F10" s="11" t="n">
        <f aca="false">D10*E10</f>
        <v>0</v>
      </c>
      <c r="G10" s="5" t="n">
        <v>0</v>
      </c>
      <c r="H10" s="5" t="n">
        <v>4096</v>
      </c>
      <c r="I10" s="5" t="n">
        <v>4</v>
      </c>
      <c r="J10" s="5" t="n">
        <v>87.3</v>
      </c>
      <c r="K10" s="5" t="n">
        <v>4.96</v>
      </c>
      <c r="L10" s="5"/>
      <c r="M10" s="5" t="n">
        <v>0</v>
      </c>
      <c r="N10" s="5" t="s">
        <v>3088</v>
      </c>
      <c r="O10" s="5" t="s">
        <v>3079</v>
      </c>
      <c r="P10" s="5"/>
      <c r="Q10" s="11"/>
      <c r="R10" s="11" t="str">
        <f aca="false">IF(Q10="","",Q10*E10)</f>
        <v/>
      </c>
      <c r="S10" s="5"/>
      <c r="T10" s="5"/>
      <c r="U10" s="11"/>
      <c r="V10" s="5"/>
      <c r="W10" s="5"/>
    </row>
    <row r="11" customFormat="false" ht="23.85" hidden="false" customHeight="false" outlineLevel="0" collapsed="false">
      <c r="A11" s="5" t="s">
        <v>3089</v>
      </c>
      <c r="B11" s="5" t="s">
        <v>1344</v>
      </c>
      <c r="C11" s="5" t="s">
        <v>182</v>
      </c>
      <c r="D11" s="11" t="n">
        <v>104336</v>
      </c>
      <c r="E11" s="5" t="n">
        <v>1</v>
      </c>
      <c r="F11" s="11" t="n">
        <f aca="false">D11*E11</f>
        <v>104336</v>
      </c>
      <c r="G11" s="5" t="n">
        <v>1</v>
      </c>
      <c r="H11" s="5" t="n">
        <v>1024</v>
      </c>
      <c r="I11" s="5" t="n">
        <v>3</v>
      </c>
      <c r="J11" s="5" t="n">
        <v>16</v>
      </c>
      <c r="K11" s="5" t="n">
        <v>1.94</v>
      </c>
      <c r="L11" s="5" t="s">
        <v>182</v>
      </c>
      <c r="M11" s="5" t="n">
        <v>7</v>
      </c>
      <c r="N11" s="5" t="s">
        <v>3090</v>
      </c>
      <c r="O11" s="5" t="s">
        <v>3091</v>
      </c>
      <c r="P11" s="5"/>
      <c r="Q11" s="11"/>
      <c r="R11" s="11" t="str">
        <f aca="false">IF(Q11="","",Q11*E11)</f>
        <v/>
      </c>
      <c r="S11" s="5"/>
      <c r="T11" s="5"/>
      <c r="U11" s="11"/>
      <c r="V11" s="5"/>
      <c r="W11" s="5"/>
    </row>
    <row r="12" customFormat="false" ht="15" hidden="false" customHeight="false" outlineLevel="0" collapsed="false">
      <c r="A12" s="5" t="s">
        <v>3092</v>
      </c>
      <c r="B12" s="5" t="s">
        <v>1346</v>
      </c>
      <c r="C12" s="5" t="s">
        <v>182</v>
      </c>
      <c r="D12" s="11" t="n">
        <v>60410</v>
      </c>
      <c r="E12" s="5" t="n">
        <v>1</v>
      </c>
      <c r="F12" s="11" t="n">
        <f aca="false">D12*E12</f>
        <v>60410</v>
      </c>
      <c r="G12" s="5" t="n">
        <v>1</v>
      </c>
      <c r="H12" s="5" t="n">
        <v>512</v>
      </c>
      <c r="I12" s="5" t="n">
        <v>54</v>
      </c>
      <c r="J12" s="5" t="n">
        <v>66</v>
      </c>
      <c r="K12" s="5" t="n">
        <v>5.36</v>
      </c>
      <c r="L12" s="5" t="s">
        <v>182</v>
      </c>
      <c r="M12" s="5" t="n">
        <v>6</v>
      </c>
      <c r="N12" s="5" t="s">
        <v>263</v>
      </c>
      <c r="O12" s="5" t="s">
        <v>3093</v>
      </c>
      <c r="P12" s="5" t="s">
        <v>3094</v>
      </c>
      <c r="Q12" s="11" t="n">
        <v>1942136</v>
      </c>
      <c r="R12" s="11" t="n">
        <f aca="false">IF(Q12="","",Q12*E12)</f>
        <v>1942136</v>
      </c>
      <c r="S12" s="5" t="n">
        <v>293.9</v>
      </c>
      <c r="T12" s="5" t="s">
        <v>3095</v>
      </c>
      <c r="U12" s="11" t="n">
        <v>31096</v>
      </c>
      <c r="V12" s="5" t="n">
        <v>18</v>
      </c>
      <c r="W12" s="5"/>
    </row>
    <row r="13" customFormat="false" ht="23.85" hidden="false" customHeight="false" outlineLevel="0" collapsed="false">
      <c r="A13" s="5" t="s">
        <v>3096</v>
      </c>
      <c r="B13" s="5" t="s">
        <v>700</v>
      </c>
      <c r="C13" s="5" t="s">
        <v>182</v>
      </c>
      <c r="D13" s="11" t="n">
        <v>40000</v>
      </c>
      <c r="E13" s="5" t="n">
        <v>3</v>
      </c>
      <c r="F13" s="11" t="n">
        <f aca="false">D13*E13</f>
        <v>120000</v>
      </c>
      <c r="G13" s="5" t="n">
        <v>3</v>
      </c>
      <c r="H13" s="5" t="n">
        <v>2048</v>
      </c>
      <c r="I13" s="5" t="n">
        <v>1</v>
      </c>
      <c r="J13" s="5" t="n">
        <v>21.3</v>
      </c>
      <c r="K13" s="5" t="n">
        <v>0.49</v>
      </c>
      <c r="L13" s="5"/>
      <c r="M13" s="5" t="n">
        <v>0</v>
      </c>
      <c r="N13" s="5" t="s">
        <v>259</v>
      </c>
      <c r="O13" s="5" t="s">
        <v>3097</v>
      </c>
      <c r="P13" s="5" t="s">
        <v>888</v>
      </c>
      <c r="Q13" s="11" t="n">
        <v>245880</v>
      </c>
      <c r="R13" s="11" t="n">
        <f aca="false">IF(Q13="","",Q13*E13)</f>
        <v>737640</v>
      </c>
      <c r="S13" s="5" t="n">
        <v>85.3</v>
      </c>
      <c r="T13" s="5" t="s">
        <v>3098</v>
      </c>
      <c r="U13" s="11" t="n">
        <v>14998</v>
      </c>
      <c r="V13" s="5" t="n">
        <v>5.3</v>
      </c>
      <c r="W13" s="5"/>
    </row>
    <row r="14" customFormat="false" ht="23.85" hidden="false" customHeight="false" outlineLevel="0" collapsed="false">
      <c r="A14" s="5" t="s">
        <v>3099</v>
      </c>
      <c r="B14" s="5" t="s">
        <v>1348</v>
      </c>
      <c r="C14" s="5" t="s">
        <v>182</v>
      </c>
      <c r="D14" s="11" t="n">
        <v>37162</v>
      </c>
      <c r="E14" s="5" t="n">
        <v>1</v>
      </c>
      <c r="F14" s="11" t="n">
        <f aca="false">D14*E14</f>
        <v>37162</v>
      </c>
      <c r="G14" s="5" t="n">
        <v>1</v>
      </c>
      <c r="H14" s="5" t="n">
        <v>4096</v>
      </c>
      <c r="I14" s="5" t="n">
        <v>3</v>
      </c>
      <c r="J14" s="5" t="n">
        <v>255.9</v>
      </c>
      <c r="K14" s="5" t="n">
        <v>3.02</v>
      </c>
      <c r="L14" s="5" t="s">
        <v>182</v>
      </c>
      <c r="M14" s="5" t="n">
        <v>5</v>
      </c>
      <c r="N14" s="5" t="s">
        <v>3100</v>
      </c>
      <c r="O14" s="5" t="s">
        <v>3101</v>
      </c>
      <c r="P14" s="5"/>
      <c r="Q14" s="11"/>
      <c r="R14" s="11" t="str">
        <f aca="false">IF(Q14="","",Q14*E14)</f>
        <v/>
      </c>
      <c r="S14" s="5"/>
      <c r="T14" s="5"/>
      <c r="U14" s="11"/>
      <c r="V14" s="5"/>
      <c r="W14" s="5"/>
    </row>
    <row r="15" customFormat="false" ht="35.05" hidden="false" customHeight="false" outlineLevel="0" collapsed="false">
      <c r="A15" s="5" t="s">
        <v>3102</v>
      </c>
      <c r="B15" s="5" t="s">
        <v>763</v>
      </c>
      <c r="C15" s="5" t="s">
        <v>182</v>
      </c>
      <c r="D15" s="11" t="n">
        <v>18918</v>
      </c>
      <c r="E15" s="5" t="n">
        <v>18</v>
      </c>
      <c r="F15" s="11" t="n">
        <f aca="false">D15*E15</f>
        <v>340524</v>
      </c>
      <c r="G15" s="5" t="n">
        <v>18</v>
      </c>
      <c r="H15" s="5" t="n">
        <v>1024</v>
      </c>
      <c r="I15" s="5" t="n">
        <v>5</v>
      </c>
      <c r="J15" s="5" t="n">
        <v>26.7</v>
      </c>
      <c r="K15" s="5" t="n">
        <v>6.74</v>
      </c>
      <c r="L15" s="5"/>
      <c r="M15" s="5" t="n">
        <v>0</v>
      </c>
      <c r="N15" s="5" t="s">
        <v>3103</v>
      </c>
      <c r="O15" s="5" t="s">
        <v>3104</v>
      </c>
      <c r="P15" s="5"/>
      <c r="Q15" s="11"/>
      <c r="R15" s="11" t="str">
        <f aca="false">IF(Q15="","",Q15*E15)</f>
        <v/>
      </c>
      <c r="S15" s="5"/>
      <c r="T15" s="5"/>
      <c r="U15" s="11"/>
      <c r="V15" s="5"/>
      <c r="W15" s="5"/>
    </row>
    <row r="16" customFormat="false" ht="15" hidden="false" customHeight="false" outlineLevel="0" collapsed="false">
      <c r="A16" s="5" t="s">
        <v>3105</v>
      </c>
      <c r="B16" s="5" t="s">
        <v>1323</v>
      </c>
      <c r="C16" s="5" t="s">
        <v>182</v>
      </c>
      <c r="D16" s="11" t="n">
        <v>9912</v>
      </c>
      <c r="E16" s="5" t="n">
        <v>14</v>
      </c>
      <c r="F16" s="11" t="n">
        <f aca="false">D16*E16</f>
        <v>138768</v>
      </c>
      <c r="G16" s="5" t="n">
        <v>14</v>
      </c>
      <c r="H16" s="5" t="n">
        <v>4096</v>
      </c>
      <c r="I16" s="5" t="n">
        <v>1</v>
      </c>
      <c r="J16" s="5" t="n">
        <v>85.3</v>
      </c>
      <c r="K16" s="5" t="n">
        <v>0.75</v>
      </c>
      <c r="L16" s="5"/>
      <c r="M16" s="5" t="n">
        <v>0</v>
      </c>
      <c r="N16" s="5" t="s">
        <v>3106</v>
      </c>
      <c r="O16" s="5" t="s">
        <v>3107</v>
      </c>
      <c r="P16" s="5"/>
      <c r="Q16" s="11"/>
      <c r="R16" s="11" t="str">
        <f aca="false">IF(Q16="","",Q16*E16)</f>
        <v/>
      </c>
      <c r="S16" s="5"/>
      <c r="T16" s="5"/>
      <c r="U16" s="11"/>
      <c r="V16" s="5"/>
      <c r="W16" s="5"/>
    </row>
    <row r="17" customFormat="false" ht="23.85" hidden="false" customHeight="false" outlineLevel="0" collapsed="false">
      <c r="A17" s="5" t="s">
        <v>3108</v>
      </c>
      <c r="B17" s="5" t="s">
        <v>788</v>
      </c>
      <c r="C17" s="5" t="s">
        <v>3074</v>
      </c>
      <c r="D17" s="11" t="n">
        <v>4997</v>
      </c>
      <c r="E17" s="5" t="n">
        <v>0</v>
      </c>
      <c r="F17" s="11" t="n">
        <f aca="false">D17*E17</f>
        <v>0</v>
      </c>
      <c r="G17" s="5" t="n">
        <v>0</v>
      </c>
      <c r="H17" s="5" t="n">
        <v>512</v>
      </c>
      <c r="I17" s="5" t="n">
        <v>1</v>
      </c>
      <c r="J17" s="5" t="n">
        <v>1.3</v>
      </c>
      <c r="K17" s="5" t="n">
        <v>0.14</v>
      </c>
      <c r="L17" s="5" t="s">
        <v>182</v>
      </c>
      <c r="M17" s="5" t="n">
        <v>1</v>
      </c>
      <c r="N17" s="5" t="s">
        <v>3109</v>
      </c>
      <c r="O17" s="5" t="s">
        <v>3079</v>
      </c>
      <c r="P17" s="5"/>
      <c r="Q17" s="11"/>
      <c r="R17" s="11" t="str">
        <f aca="false">IF(Q17="","",Q17*E17)</f>
        <v/>
      </c>
      <c r="S17" s="5"/>
      <c r="T17" s="5"/>
      <c r="U17" s="11"/>
      <c r="V17" s="5"/>
      <c r="W17" s="5"/>
    </row>
    <row r="18" customFormat="false" ht="23.85" hidden="false" customHeight="false" outlineLevel="0" collapsed="false">
      <c r="A18" s="5" t="s">
        <v>3110</v>
      </c>
      <c r="B18" s="5" t="s">
        <v>1720</v>
      </c>
      <c r="C18" s="5" t="s">
        <v>3074</v>
      </c>
      <c r="D18" s="11" t="n">
        <v>4958</v>
      </c>
      <c r="E18" s="5" t="n">
        <v>0</v>
      </c>
      <c r="F18" s="11" t="n">
        <f aca="false">D18*E18</f>
        <v>0</v>
      </c>
      <c r="G18" s="5" t="n">
        <v>0</v>
      </c>
      <c r="H18" s="5" t="n">
        <v>512</v>
      </c>
      <c r="I18" s="5" t="n">
        <v>1</v>
      </c>
      <c r="J18" s="5" t="n">
        <v>1.3</v>
      </c>
      <c r="K18" s="5" t="n">
        <v>0.07</v>
      </c>
      <c r="L18" s="5"/>
      <c r="M18" s="5" t="n">
        <v>0</v>
      </c>
      <c r="N18" s="5" t="s">
        <v>819</v>
      </c>
      <c r="O18" s="5" t="s">
        <v>3079</v>
      </c>
      <c r="P18" s="5"/>
      <c r="Q18" s="11"/>
      <c r="R18" s="11" t="str">
        <f aca="false">IF(Q18="","",Q18*E18)</f>
        <v/>
      </c>
      <c r="S18" s="5"/>
      <c r="T18" s="5"/>
      <c r="U18" s="11"/>
      <c r="V18" s="5"/>
      <c r="W18" s="5"/>
    </row>
    <row r="19" customFormat="false" ht="15" hidden="false" customHeight="false" outlineLevel="0" collapsed="false">
      <c r="A19" s="5" t="s">
        <v>3111</v>
      </c>
      <c r="B19" s="5" t="s">
        <v>1321</v>
      </c>
      <c r="C19" s="5" t="s">
        <v>182</v>
      </c>
      <c r="D19" s="11" t="n">
        <v>2552</v>
      </c>
      <c r="E19" s="5" t="n">
        <v>24</v>
      </c>
      <c r="F19" s="11" t="n">
        <f aca="false">D19*E19</f>
        <v>61248</v>
      </c>
      <c r="G19" s="5" t="n">
        <v>24</v>
      </c>
      <c r="H19" s="5" t="n">
        <v>1024</v>
      </c>
      <c r="I19" s="5" t="n">
        <v>1</v>
      </c>
      <c r="J19" s="5" t="n">
        <v>5.3</v>
      </c>
      <c r="K19" s="5" t="n">
        <v>0.87</v>
      </c>
      <c r="L19" s="5"/>
      <c r="M19" s="5" t="n">
        <v>0</v>
      </c>
      <c r="N19" s="5" t="s">
        <v>3106</v>
      </c>
      <c r="O19" s="5" t="s">
        <v>3112</v>
      </c>
      <c r="P19" s="5"/>
      <c r="Q19" s="11"/>
      <c r="R19" s="11" t="str">
        <f aca="false">IF(Q19="","",Q19*E19)</f>
        <v/>
      </c>
      <c r="S19" s="5"/>
      <c r="T19" s="5"/>
      <c r="U19" s="11"/>
      <c r="V19" s="5"/>
      <c r="W19" s="5"/>
    </row>
    <row r="20" customFormat="false" ht="15" hidden="false" customHeight="false" outlineLevel="0" collapsed="false">
      <c r="A20" s="5" t="s">
        <v>3113</v>
      </c>
      <c r="B20" s="5" t="s">
        <v>3114</v>
      </c>
      <c r="C20" s="5" t="s">
        <v>182</v>
      </c>
      <c r="D20" s="11" t="n">
        <v>23466</v>
      </c>
      <c r="E20" s="5" t="n">
        <v>18</v>
      </c>
      <c r="F20" s="11" t="n">
        <f aca="false">D20*E20</f>
        <v>422388</v>
      </c>
      <c r="G20" s="5" t="n">
        <v>18</v>
      </c>
      <c r="H20" s="5"/>
      <c r="I20" s="5" t="n">
        <v>0</v>
      </c>
      <c r="J20" s="5" t="n">
        <v>0</v>
      </c>
      <c r="K20" s="5" t="n">
        <v>1.06</v>
      </c>
      <c r="L20" s="5"/>
      <c r="M20" s="5" t="n">
        <v>0</v>
      </c>
      <c r="N20" s="5" t="s">
        <v>166</v>
      </c>
      <c r="O20" s="5" t="s">
        <v>3115</v>
      </c>
      <c r="P20" s="5"/>
      <c r="Q20" s="11"/>
      <c r="R20" s="11" t="str">
        <f aca="false">IF(Q20="","",Q20*E20)</f>
        <v/>
      </c>
      <c r="S20" s="5"/>
      <c r="T20" s="5"/>
      <c r="U20" s="11"/>
      <c r="V20" s="5"/>
      <c r="W20" s="5" t="s">
        <v>602</v>
      </c>
    </row>
    <row r="22" customFormat="false" ht="15" hidden="false" customHeight="false" outlineLevel="0" collapsed="false">
      <c r="B22" s="7" t="s">
        <v>3116</v>
      </c>
      <c r="F22" s="17" t="n">
        <f aca="false">SUM(F5:F20)</f>
        <v>1530827</v>
      </c>
      <c r="J22" s="18" t="n">
        <f aca="false">SUMPRODUCT((C5:C20="Yes")*J5:J20)</f>
        <v>647.1</v>
      </c>
    </row>
    <row r="23" customFormat="false" ht="15" hidden="false" customHeight="false" outlineLevel="0" collapsed="false">
      <c r="B23" s="7" t="s">
        <v>3117</v>
      </c>
      <c r="F23" s="17" t="n">
        <f aca="false">F22-SUMPRODUCT((Q5:Q20&lt;&gt;"")*(F5:F20))+SUM(R5:R20)</f>
        <v>4030193</v>
      </c>
      <c r="J23" s="7"/>
    </row>
    <row r="24" customFormat="false" ht="15" hidden="false" customHeight="false" outlineLevel="0" collapsed="false">
      <c r="B24" s="7" t="s">
        <v>3118</v>
      </c>
      <c r="F24" s="7"/>
      <c r="J24" s="18" t="n">
        <f aca="false">J22-SUMPRODUCT((S5:S20&lt;&gt;"")*(C5:C20="Yes")*J5:J20)+SUMPRODUCT((C5:C20="Yes")*(S5:S20&lt;&gt;"")*N(+S5:S20))</f>
        <v>939</v>
      </c>
    </row>
  </sheetData>
  <autoFilter ref="A4:W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44"/>
    <col collapsed="false" customWidth="true" hidden="false" outlineLevel="0" max="4" min="4" style="0" width="56"/>
    <col collapsed="false" customWidth="true" hidden="false" outlineLevel="0" max="5" min="5" style="0" width="14"/>
    <col collapsed="false" customWidth="true" hidden="false" outlineLevel="0" max="6" min="6" style="0" width="44"/>
  </cols>
  <sheetData>
    <row r="1" customFormat="false" ht="17.35" hidden="false" customHeight="false" outlineLevel="0" collapsed="false">
      <c r="A1" s="9" t="s">
        <v>3119</v>
      </c>
    </row>
    <row r="2" customFormat="false" ht="15" hidden="false" customHeight="false" outlineLevel="0" collapsed="false">
      <c r="A2" s="10" t="s">
        <v>3120</v>
      </c>
    </row>
    <row r="4" customFormat="false" ht="30" hidden="false" customHeight="true" outlineLevel="0" collapsed="false">
      <c r="A4" s="12" t="s">
        <v>3121</v>
      </c>
      <c r="B4" s="12" t="s">
        <v>3122</v>
      </c>
      <c r="C4" s="12" t="s">
        <v>3123</v>
      </c>
      <c r="D4" s="12" t="s">
        <v>3124</v>
      </c>
      <c r="E4" s="12" t="s">
        <v>2001</v>
      </c>
      <c r="F4" s="12" t="s">
        <v>141</v>
      </c>
    </row>
    <row r="5" customFormat="false" ht="23.85" hidden="false" customHeight="false" outlineLevel="0" collapsed="false">
      <c r="A5" s="5" t="s">
        <v>3125</v>
      </c>
      <c r="B5" s="5" t="s">
        <v>3126</v>
      </c>
      <c r="C5" s="5" t="s">
        <v>3127</v>
      </c>
      <c r="D5" s="5" t="s">
        <v>3128</v>
      </c>
      <c r="E5" s="5" t="s">
        <v>3129</v>
      </c>
      <c r="F5" s="5" t="s">
        <v>3130</v>
      </c>
    </row>
    <row r="6" customFormat="false" ht="23.85" hidden="false" customHeight="false" outlineLevel="0" collapsed="false">
      <c r="A6" s="5" t="s">
        <v>3131</v>
      </c>
      <c r="B6" s="5" t="s">
        <v>3126</v>
      </c>
      <c r="C6" s="5" t="s">
        <v>3132</v>
      </c>
      <c r="D6" s="5" t="s">
        <v>3133</v>
      </c>
      <c r="E6" s="5" t="s">
        <v>3129</v>
      </c>
      <c r="F6" s="5" t="s">
        <v>3134</v>
      </c>
    </row>
    <row r="7" customFormat="false" ht="15" hidden="false" customHeight="false" outlineLevel="0" collapsed="false">
      <c r="A7" s="5" t="s">
        <v>3135</v>
      </c>
      <c r="B7" s="5" t="s">
        <v>3136</v>
      </c>
      <c r="C7" s="5" t="s">
        <v>3137</v>
      </c>
      <c r="D7" s="5" t="s">
        <v>3138</v>
      </c>
      <c r="E7" s="5" t="s">
        <v>3129</v>
      </c>
      <c r="F7" s="5" t="s">
        <v>3139</v>
      </c>
    </row>
    <row r="8" customFormat="false" ht="23.85" hidden="false" customHeight="false" outlineLevel="0" collapsed="false">
      <c r="A8" s="5" t="s">
        <v>3140</v>
      </c>
      <c r="B8" s="5" t="s">
        <v>3141</v>
      </c>
      <c r="C8" s="5" t="s">
        <v>3142</v>
      </c>
      <c r="D8" s="5" t="s">
        <v>3143</v>
      </c>
      <c r="E8" s="5" t="s">
        <v>3129</v>
      </c>
      <c r="F8" s="5" t="s">
        <v>3082</v>
      </c>
    </row>
    <row r="9" customFormat="false" ht="23.85" hidden="false" customHeight="false" outlineLevel="0" collapsed="false">
      <c r="A9" s="5" t="s">
        <v>3144</v>
      </c>
      <c r="B9" s="5" t="s">
        <v>3145</v>
      </c>
      <c r="C9" s="5" t="s">
        <v>3146</v>
      </c>
      <c r="D9" s="5" t="s">
        <v>3147</v>
      </c>
      <c r="E9" s="5" t="s">
        <v>3148</v>
      </c>
      <c r="F9" s="5" t="s">
        <v>2863</v>
      </c>
    </row>
    <row r="10" customFormat="false" ht="23.85" hidden="false" customHeight="false" outlineLevel="0" collapsed="false">
      <c r="A10" s="5" t="s">
        <v>3149</v>
      </c>
      <c r="B10" s="5" t="s">
        <v>3150</v>
      </c>
      <c r="C10" s="5" t="s">
        <v>3151</v>
      </c>
      <c r="D10" s="5" t="s">
        <v>3152</v>
      </c>
      <c r="E10" s="5" t="s">
        <v>3148</v>
      </c>
      <c r="F10" s="5" t="s">
        <v>3153</v>
      </c>
    </row>
    <row r="11" customFormat="false" ht="15" hidden="false" customHeight="false" outlineLevel="0" collapsed="false">
      <c r="A11" s="5" t="s">
        <v>3154</v>
      </c>
      <c r="B11" s="5" t="s">
        <v>3155</v>
      </c>
      <c r="C11" s="5" t="s">
        <v>3156</v>
      </c>
      <c r="D11" s="5" t="s">
        <v>3157</v>
      </c>
      <c r="E11" s="5" t="s">
        <v>3148</v>
      </c>
      <c r="F11" s="5" t="s">
        <v>3158</v>
      </c>
    </row>
    <row r="12" customFormat="false" ht="15" hidden="false" customHeight="false" outlineLevel="0" collapsed="false">
      <c r="A12" s="5" t="s">
        <v>3159</v>
      </c>
      <c r="B12" s="5" t="s">
        <v>3160</v>
      </c>
      <c r="C12" s="5" t="s">
        <v>3161</v>
      </c>
      <c r="D12" s="5" t="s">
        <v>3162</v>
      </c>
      <c r="E12" s="5" t="s">
        <v>3148</v>
      </c>
      <c r="F12" s="5" t="s">
        <v>3163</v>
      </c>
    </row>
    <row r="13" customFormat="false" ht="23.85" hidden="false" customHeight="false" outlineLevel="0" collapsed="false">
      <c r="A13" s="5" t="s">
        <v>3164</v>
      </c>
      <c r="B13" s="5" t="s">
        <v>3165</v>
      </c>
      <c r="C13" s="5" t="s">
        <v>3166</v>
      </c>
      <c r="D13" s="5" t="s">
        <v>3167</v>
      </c>
      <c r="E13" s="5" t="s">
        <v>3148</v>
      </c>
      <c r="F13" s="5" t="s">
        <v>3168</v>
      </c>
    </row>
    <row r="14" customFormat="false" ht="23.85" hidden="false" customHeight="false" outlineLevel="0" collapsed="false">
      <c r="A14" s="5" t="s">
        <v>3169</v>
      </c>
      <c r="B14" s="5" t="s">
        <v>3170</v>
      </c>
      <c r="C14" s="5" t="s">
        <v>3171</v>
      </c>
      <c r="D14" s="5" t="s">
        <v>3172</v>
      </c>
      <c r="E14" s="5" t="s">
        <v>3173</v>
      </c>
      <c r="F14" s="5" t="s">
        <v>3174</v>
      </c>
    </row>
    <row r="15" customFormat="false" ht="15" hidden="false" customHeight="false" outlineLevel="0" collapsed="false">
      <c r="A15" s="5" t="s">
        <v>3175</v>
      </c>
      <c r="B15" s="5" t="s">
        <v>3176</v>
      </c>
      <c r="C15" s="5" t="s">
        <v>3177</v>
      </c>
      <c r="D15" s="5" t="s">
        <v>3178</v>
      </c>
      <c r="E15" s="5" t="s">
        <v>3179</v>
      </c>
      <c r="F15" s="5" t="s">
        <v>3180</v>
      </c>
    </row>
    <row r="16" customFormat="false" ht="23.85" hidden="false" customHeight="false" outlineLevel="0" collapsed="false">
      <c r="A16" s="5" t="s">
        <v>3181</v>
      </c>
      <c r="B16" s="5" t="s">
        <v>3182</v>
      </c>
      <c r="C16" s="5" t="s">
        <v>3183</v>
      </c>
      <c r="D16" s="5" t="s">
        <v>3184</v>
      </c>
      <c r="E16" s="5" t="s">
        <v>3129</v>
      </c>
      <c r="F16" s="5" t="s">
        <v>3185</v>
      </c>
    </row>
    <row r="17" customFormat="false" ht="15" hidden="false" customHeight="false" outlineLevel="0" collapsed="false">
      <c r="A17" s="5" t="s">
        <v>3186</v>
      </c>
      <c r="B17" s="5" t="s">
        <v>3187</v>
      </c>
      <c r="C17" s="5" t="s">
        <v>3188</v>
      </c>
      <c r="D17" s="5" t="s">
        <v>3189</v>
      </c>
      <c r="E17" s="5" t="s">
        <v>3190</v>
      </c>
      <c r="F17" s="5" t="s">
        <v>3191</v>
      </c>
    </row>
    <row r="18" customFormat="false" ht="23.85" hidden="false" customHeight="false" outlineLevel="0" collapsed="false">
      <c r="A18" s="5" t="s">
        <v>3192</v>
      </c>
      <c r="B18" s="5" t="s">
        <v>3193</v>
      </c>
      <c r="C18" s="5" t="s">
        <v>3194</v>
      </c>
      <c r="D18" s="5" t="s">
        <v>3195</v>
      </c>
      <c r="E18" s="5" t="s">
        <v>3190</v>
      </c>
      <c r="F18" s="5" t="s">
        <v>3196</v>
      </c>
    </row>
    <row r="19" customFormat="false" ht="23.85" hidden="false" customHeight="false" outlineLevel="0" collapsed="false">
      <c r="A19" s="5" t="s">
        <v>3197</v>
      </c>
      <c r="B19" s="5" t="s">
        <v>3198</v>
      </c>
      <c r="C19" s="5" t="s">
        <v>3199</v>
      </c>
      <c r="D19" s="5" t="s">
        <v>3200</v>
      </c>
      <c r="E19" s="5" t="s">
        <v>3201</v>
      </c>
      <c r="F19" s="5" t="s">
        <v>2978</v>
      </c>
    </row>
    <row r="20" customFormat="false" ht="23.85" hidden="false" customHeight="false" outlineLevel="0" collapsed="false">
      <c r="A20" s="5" t="s">
        <v>3202</v>
      </c>
      <c r="B20" s="5" t="s">
        <v>3198</v>
      </c>
      <c r="C20" s="5" t="s">
        <v>3203</v>
      </c>
      <c r="D20" s="5" t="s">
        <v>3204</v>
      </c>
      <c r="E20" s="5" t="s">
        <v>3201</v>
      </c>
      <c r="F20" s="5" t="s">
        <v>3205</v>
      </c>
    </row>
    <row r="21" customFormat="false" ht="15" hidden="false" customHeight="false" outlineLevel="0" collapsed="false">
      <c r="A21" s="5" t="s">
        <v>3206</v>
      </c>
      <c r="B21" s="5" t="s">
        <v>3198</v>
      </c>
      <c r="C21" s="5" t="s">
        <v>3207</v>
      </c>
      <c r="D21" s="5" t="s">
        <v>3208</v>
      </c>
      <c r="E21" s="5" t="s">
        <v>3201</v>
      </c>
      <c r="F21" s="5" t="s">
        <v>3153</v>
      </c>
    </row>
    <row r="22" customFormat="false" ht="23.85" hidden="false" customHeight="false" outlineLevel="0" collapsed="false">
      <c r="A22" s="5" t="s">
        <v>3209</v>
      </c>
      <c r="B22" s="5" t="s">
        <v>3198</v>
      </c>
      <c r="C22" s="5" t="s">
        <v>3210</v>
      </c>
      <c r="D22" s="5" t="s">
        <v>3211</v>
      </c>
      <c r="E22" s="5" t="s">
        <v>3201</v>
      </c>
      <c r="F22" s="5" t="s">
        <v>3212</v>
      </c>
    </row>
    <row r="23" customFormat="false" ht="23.85" hidden="false" customHeight="false" outlineLevel="0" collapsed="false">
      <c r="A23" s="5" t="s">
        <v>3213</v>
      </c>
      <c r="B23" s="5" t="s">
        <v>3198</v>
      </c>
      <c r="C23" s="5" t="s">
        <v>3214</v>
      </c>
      <c r="D23" s="5" t="s">
        <v>3215</v>
      </c>
      <c r="E23" s="5" t="s">
        <v>3201</v>
      </c>
      <c r="F23" s="5" t="s">
        <v>3216</v>
      </c>
    </row>
    <row r="24" customFormat="false" ht="23.85" hidden="false" customHeight="false" outlineLevel="0" collapsed="false">
      <c r="A24" s="5" t="s">
        <v>3217</v>
      </c>
      <c r="B24" s="5" t="s">
        <v>3218</v>
      </c>
      <c r="C24" s="5" t="s">
        <v>3219</v>
      </c>
      <c r="D24" s="5" t="s">
        <v>3220</v>
      </c>
      <c r="E24" s="5" t="s">
        <v>3148</v>
      </c>
      <c r="F24" s="5" t="s">
        <v>3221</v>
      </c>
    </row>
    <row r="25" customFormat="false" ht="23.85" hidden="false" customHeight="false" outlineLevel="0" collapsed="false">
      <c r="A25" s="5" t="s">
        <v>3222</v>
      </c>
      <c r="B25" s="5" t="s">
        <v>3223</v>
      </c>
      <c r="C25" s="5" t="s">
        <v>3224</v>
      </c>
      <c r="D25" s="5" t="s">
        <v>3225</v>
      </c>
      <c r="E25" s="5" t="s">
        <v>3148</v>
      </c>
      <c r="F25" s="5" t="s">
        <v>3226</v>
      </c>
    </row>
    <row r="26" customFormat="false" ht="23.85" hidden="false" customHeight="false" outlineLevel="0" collapsed="false">
      <c r="A26" s="5" t="s">
        <v>3227</v>
      </c>
      <c r="B26" s="5" t="s">
        <v>3228</v>
      </c>
      <c r="C26" s="5" t="s">
        <v>3229</v>
      </c>
      <c r="D26" s="5" t="s">
        <v>3230</v>
      </c>
      <c r="E26" s="5" t="s">
        <v>3148</v>
      </c>
      <c r="F26" s="5" t="s">
        <v>3082</v>
      </c>
    </row>
    <row r="27" customFormat="false" ht="23.85" hidden="false" customHeight="false" outlineLevel="0" collapsed="false">
      <c r="A27" s="5" t="s">
        <v>3231</v>
      </c>
      <c r="B27" s="5" t="s">
        <v>3232</v>
      </c>
      <c r="C27" s="5" t="s">
        <v>3233</v>
      </c>
      <c r="D27" s="5" t="s">
        <v>3234</v>
      </c>
      <c r="E27" s="5" t="s">
        <v>3235</v>
      </c>
      <c r="F27" s="5" t="s">
        <v>3236</v>
      </c>
    </row>
  </sheetData>
  <autoFilter ref="A4:F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
    <col collapsed="false" customWidth="true" hidden="false" outlineLevel="0" max="3" min="3" style="0" width="34"/>
    <col collapsed="false" customWidth="true" hidden="false" outlineLevel="0" max="4" min="4" style="0" width="16"/>
    <col collapsed="false" customWidth="true" hidden="false" outlineLevel="0" max="5" min="5" style="0" width="60"/>
    <col collapsed="false" customWidth="true" hidden="false" outlineLevel="0" max="6" min="6" style="0" width="52"/>
    <col collapsed="false" customWidth="true" hidden="false" outlineLevel="0" max="7" min="7" style="0" width="13"/>
    <col collapsed="false" customWidth="true" hidden="false" outlineLevel="0" max="8" min="8" style="0" width="44"/>
  </cols>
  <sheetData>
    <row r="1" customFormat="false" ht="17.35" hidden="false" customHeight="false" outlineLevel="0" collapsed="false">
      <c r="A1" s="9" t="s">
        <v>3237</v>
      </c>
    </row>
    <row r="2" customFormat="false" ht="15" hidden="false" customHeight="false" outlineLevel="0" collapsed="false">
      <c r="A2" s="10" t="s">
        <v>3238</v>
      </c>
    </row>
    <row r="4" customFormat="false" ht="30" hidden="false" customHeight="true" outlineLevel="0" collapsed="false">
      <c r="A4" s="12" t="s">
        <v>3239</v>
      </c>
      <c r="B4" s="12" t="s">
        <v>135</v>
      </c>
      <c r="C4" s="12" t="s">
        <v>332</v>
      </c>
      <c r="D4" s="12" t="s">
        <v>336</v>
      </c>
      <c r="E4" s="12" t="s">
        <v>3240</v>
      </c>
      <c r="F4" s="12" t="s">
        <v>3241</v>
      </c>
      <c r="G4" s="12" t="s">
        <v>2821</v>
      </c>
      <c r="H4" s="12" t="s">
        <v>3242</v>
      </c>
    </row>
    <row r="5" customFormat="false" ht="35.05" hidden="false" customHeight="false" outlineLevel="0" collapsed="false">
      <c r="A5" s="5" t="s">
        <v>450</v>
      </c>
      <c r="B5" s="5" t="n">
        <v>1</v>
      </c>
      <c r="C5" s="5" t="s">
        <v>3243</v>
      </c>
      <c r="D5" s="5" t="s">
        <v>449</v>
      </c>
      <c r="E5" s="5" t="s">
        <v>3244</v>
      </c>
      <c r="F5" s="5" t="s">
        <v>3245</v>
      </c>
      <c r="G5" s="5" t="s">
        <v>3246</v>
      </c>
      <c r="H5" s="5" t="s">
        <v>3247</v>
      </c>
    </row>
    <row r="6" customFormat="false" ht="35.05" hidden="false" customHeight="false" outlineLevel="0" collapsed="false">
      <c r="A6" s="5" t="s">
        <v>2837</v>
      </c>
      <c r="B6" s="5" t="n">
        <v>2</v>
      </c>
      <c r="C6" s="5" t="s">
        <v>3248</v>
      </c>
      <c r="D6" s="5" t="s">
        <v>701</v>
      </c>
      <c r="E6" s="5" t="s">
        <v>3249</v>
      </c>
      <c r="F6" s="5" t="s">
        <v>3250</v>
      </c>
      <c r="G6" s="5" t="s">
        <v>3246</v>
      </c>
      <c r="H6" s="5" t="s">
        <v>3251</v>
      </c>
    </row>
    <row r="7" customFormat="false" ht="23.85" hidden="false" customHeight="false" outlineLevel="0" collapsed="false">
      <c r="A7" s="5" t="s">
        <v>2848</v>
      </c>
      <c r="B7" s="5" t="n">
        <v>3</v>
      </c>
      <c r="C7" s="5" t="s">
        <v>3252</v>
      </c>
      <c r="D7" s="5" t="s">
        <v>2839</v>
      </c>
      <c r="E7" s="5" t="s">
        <v>3253</v>
      </c>
      <c r="F7" s="5" t="s">
        <v>3254</v>
      </c>
      <c r="G7" s="5" t="s">
        <v>3255</v>
      </c>
      <c r="H7" s="5"/>
    </row>
    <row r="8" customFormat="false" ht="15" hidden="false" customHeight="false" outlineLevel="0" collapsed="false">
      <c r="A8" s="5" t="s">
        <v>2937</v>
      </c>
      <c r="B8" s="5" t="n">
        <v>4</v>
      </c>
      <c r="C8" s="5" t="s">
        <v>3256</v>
      </c>
      <c r="D8" s="5" t="s">
        <v>602</v>
      </c>
      <c r="E8" s="5" t="s">
        <v>3257</v>
      </c>
      <c r="F8" s="5" t="s">
        <v>3258</v>
      </c>
      <c r="G8" s="5" t="s">
        <v>3255</v>
      </c>
      <c r="H8" s="5"/>
    </row>
    <row r="9" customFormat="false" ht="23.85" hidden="false" customHeight="false" outlineLevel="0" collapsed="false">
      <c r="A9" s="5" t="s">
        <v>2858</v>
      </c>
      <c r="B9" s="5" t="n">
        <v>5</v>
      </c>
      <c r="C9" s="5" t="s">
        <v>3259</v>
      </c>
      <c r="D9" s="5" t="s">
        <v>2850</v>
      </c>
      <c r="E9" s="5" t="s">
        <v>3260</v>
      </c>
      <c r="F9" s="5" t="s">
        <v>3261</v>
      </c>
      <c r="G9" s="5" t="s">
        <v>3262</v>
      </c>
      <c r="H9" s="5" t="s">
        <v>3263</v>
      </c>
    </row>
    <row r="10" customFormat="false" ht="46.25" hidden="false" customHeight="false" outlineLevel="0" collapsed="false">
      <c r="A10" s="5" t="s">
        <v>2866</v>
      </c>
      <c r="B10" s="5" t="n">
        <v>6</v>
      </c>
      <c r="C10" s="5" t="s">
        <v>3264</v>
      </c>
      <c r="D10" s="5" t="s">
        <v>3265</v>
      </c>
      <c r="E10" s="5" t="s">
        <v>3266</v>
      </c>
      <c r="F10" s="5" t="s">
        <v>3267</v>
      </c>
      <c r="G10" s="5" t="s">
        <v>3268</v>
      </c>
      <c r="H10" s="5" t="s">
        <v>3269</v>
      </c>
    </row>
    <row r="11" customFormat="false" ht="23.85" hidden="false" customHeight="false" outlineLevel="0" collapsed="false">
      <c r="A11" s="5" t="s">
        <v>422</v>
      </c>
      <c r="B11" s="5" t="n">
        <v>7</v>
      </c>
      <c r="C11" s="5" t="s">
        <v>3270</v>
      </c>
      <c r="D11" s="5" t="s">
        <v>421</v>
      </c>
      <c r="E11" s="5" t="s">
        <v>3271</v>
      </c>
      <c r="F11" s="5" t="s">
        <v>3272</v>
      </c>
      <c r="G11" s="5" t="s">
        <v>3255</v>
      </c>
      <c r="H11" s="5"/>
    </row>
    <row r="12" customFormat="false" ht="23.85" hidden="false" customHeight="false" outlineLevel="0" collapsed="false">
      <c r="A12" s="5" t="s">
        <v>2894</v>
      </c>
      <c r="B12" s="5" t="n">
        <v>8</v>
      </c>
      <c r="C12" s="5" t="s">
        <v>3273</v>
      </c>
      <c r="D12" s="5" t="s">
        <v>384</v>
      </c>
      <c r="E12" s="5" t="s">
        <v>3274</v>
      </c>
      <c r="F12" s="5" t="s">
        <v>3275</v>
      </c>
      <c r="G12" s="5" t="s">
        <v>3255</v>
      </c>
      <c r="H12" s="5"/>
    </row>
    <row r="13" customFormat="false" ht="23.85" hidden="false" customHeight="false" outlineLevel="0" collapsed="false">
      <c r="A13" s="5" t="s">
        <v>2915</v>
      </c>
      <c r="B13" s="5" t="n">
        <v>9</v>
      </c>
      <c r="C13" s="5" t="s">
        <v>3276</v>
      </c>
      <c r="D13" s="5" t="s">
        <v>1100</v>
      </c>
      <c r="E13" s="5" t="s">
        <v>3277</v>
      </c>
      <c r="F13" s="5" t="s">
        <v>3278</v>
      </c>
      <c r="G13" s="5" t="s">
        <v>3255</v>
      </c>
      <c r="H13" s="5"/>
    </row>
    <row r="14" customFormat="false" ht="23.85" hidden="false" customHeight="false" outlineLevel="0" collapsed="false">
      <c r="A14" s="5" t="s">
        <v>2923</v>
      </c>
      <c r="B14" s="5" t="n">
        <v>10</v>
      </c>
      <c r="C14" s="5" t="s">
        <v>3279</v>
      </c>
      <c r="D14" s="5" t="s">
        <v>2916</v>
      </c>
      <c r="E14" s="5" t="s">
        <v>3280</v>
      </c>
      <c r="F14" s="5" t="s">
        <v>3281</v>
      </c>
      <c r="G14" s="5" t="s">
        <v>3255</v>
      </c>
      <c r="H14" s="5" t="s">
        <v>3282</v>
      </c>
    </row>
    <row r="15" customFormat="false" ht="15" hidden="false" customHeight="false" outlineLevel="0" collapsed="false">
      <c r="A15" s="5" t="s">
        <v>2930</v>
      </c>
      <c r="B15" s="5" t="n">
        <v>11</v>
      </c>
      <c r="C15" s="5" t="s">
        <v>3283</v>
      </c>
      <c r="D15" s="5" t="s">
        <v>350</v>
      </c>
      <c r="E15" s="5" t="s">
        <v>3284</v>
      </c>
      <c r="F15" s="5" t="s">
        <v>3285</v>
      </c>
      <c r="G15" s="5" t="s">
        <v>3255</v>
      </c>
      <c r="H15" s="5"/>
    </row>
    <row r="16" customFormat="false" ht="23.85" hidden="false" customHeight="false" outlineLevel="0" collapsed="false">
      <c r="A16" s="5" t="s">
        <v>2901</v>
      </c>
      <c r="B16" s="5" t="n">
        <v>12</v>
      </c>
      <c r="C16" s="5" t="s">
        <v>3286</v>
      </c>
      <c r="D16" s="5" t="s">
        <v>3287</v>
      </c>
      <c r="E16" s="5" t="s">
        <v>3288</v>
      </c>
      <c r="F16" s="5" t="s">
        <v>3289</v>
      </c>
      <c r="G16" s="5" t="s">
        <v>3255</v>
      </c>
      <c r="H16" s="5"/>
    </row>
    <row r="17" customFormat="false" ht="23.85" hidden="false" customHeight="false" outlineLevel="0" collapsed="false">
      <c r="A17" s="5" t="s">
        <v>2944</v>
      </c>
      <c r="B17" s="5" t="n">
        <v>13</v>
      </c>
      <c r="C17" s="5" t="s">
        <v>3290</v>
      </c>
      <c r="D17" s="5" t="s">
        <v>354</v>
      </c>
      <c r="E17" s="5" t="s">
        <v>3291</v>
      </c>
      <c r="F17" s="5" t="s">
        <v>3292</v>
      </c>
      <c r="G17" s="5" t="s">
        <v>3255</v>
      </c>
      <c r="H17" s="5"/>
    </row>
    <row r="18" customFormat="false" ht="23.85" hidden="false" customHeight="false" outlineLevel="0" collapsed="false">
      <c r="A18" s="5" t="s">
        <v>2951</v>
      </c>
      <c r="B18" s="5" t="n">
        <v>14</v>
      </c>
      <c r="C18" s="5" t="s">
        <v>3293</v>
      </c>
      <c r="D18" s="5" t="s">
        <v>3294</v>
      </c>
      <c r="E18" s="5" t="s">
        <v>3295</v>
      </c>
      <c r="F18" s="5" t="s">
        <v>3296</v>
      </c>
      <c r="G18" s="5" t="s">
        <v>3268</v>
      </c>
      <c r="H18" s="5" t="s">
        <v>3297</v>
      </c>
    </row>
    <row r="19" customFormat="false" ht="23.85" hidden="false" customHeight="false" outlineLevel="0" collapsed="false">
      <c r="A19" s="5" t="s">
        <v>3027</v>
      </c>
      <c r="B19" s="5" t="n">
        <v>16</v>
      </c>
      <c r="C19" s="5" t="s">
        <v>3298</v>
      </c>
      <c r="D19" s="5" t="s">
        <v>3299</v>
      </c>
      <c r="E19" s="5" t="s">
        <v>3300</v>
      </c>
      <c r="F19" s="5" t="s">
        <v>3301</v>
      </c>
      <c r="G19" s="5" t="s">
        <v>3268</v>
      </c>
      <c r="H19" s="5" t="s">
        <v>3302</v>
      </c>
    </row>
    <row r="20" customFormat="false" ht="23.85" hidden="false" customHeight="false" outlineLevel="0" collapsed="false">
      <c r="A20" s="5" t="s">
        <v>471</v>
      </c>
      <c r="B20" s="5" t="n">
        <v>17</v>
      </c>
      <c r="C20" s="5" t="s">
        <v>3303</v>
      </c>
      <c r="D20" s="5" t="s">
        <v>470</v>
      </c>
      <c r="E20" s="5" t="s">
        <v>3304</v>
      </c>
      <c r="F20" s="5" t="s">
        <v>3305</v>
      </c>
      <c r="G20" s="5" t="s">
        <v>3255</v>
      </c>
      <c r="H20" s="5" t="s">
        <v>3306</v>
      </c>
    </row>
    <row r="21" customFormat="false" ht="23.85" hidden="false" customHeight="false" outlineLevel="0" collapsed="false">
      <c r="A21" s="5" t="s">
        <v>485</v>
      </c>
      <c r="B21" s="5" t="n">
        <v>18</v>
      </c>
      <c r="C21" s="5" t="s">
        <v>3307</v>
      </c>
      <c r="D21" s="5" t="s">
        <v>3308</v>
      </c>
      <c r="E21" s="5" t="s">
        <v>3309</v>
      </c>
      <c r="F21" s="5" t="s">
        <v>3310</v>
      </c>
      <c r="G21" s="5" t="s">
        <v>3255</v>
      </c>
      <c r="H21" s="5"/>
    </row>
    <row r="22" customFormat="false" ht="15" hidden="false" customHeight="false" outlineLevel="0" collapsed="false">
      <c r="A22" s="5" t="s">
        <v>3013</v>
      </c>
      <c r="B22" s="5" t="n">
        <v>19</v>
      </c>
      <c r="C22" s="5" t="s">
        <v>3311</v>
      </c>
      <c r="D22" s="5" t="s">
        <v>859</v>
      </c>
      <c r="E22" s="5" t="s">
        <v>3312</v>
      </c>
      <c r="F22" s="5" t="s">
        <v>3313</v>
      </c>
      <c r="G22" s="5" t="s">
        <v>3255</v>
      </c>
      <c r="H22" s="5"/>
    </row>
    <row r="23" customFormat="false" ht="15" hidden="false" customHeight="false" outlineLevel="0" collapsed="false">
      <c r="A23" s="5" t="s">
        <v>3035</v>
      </c>
      <c r="B23" s="5" t="n">
        <v>20</v>
      </c>
      <c r="C23" s="5" t="s">
        <v>3314</v>
      </c>
      <c r="D23" s="5" t="s">
        <v>3028</v>
      </c>
      <c r="E23" s="5" t="s">
        <v>3315</v>
      </c>
      <c r="F23" s="5" t="s">
        <v>3316</v>
      </c>
      <c r="G23" s="5" t="s">
        <v>3255</v>
      </c>
      <c r="H23" s="5" t="s">
        <v>3317</v>
      </c>
    </row>
    <row r="24" customFormat="false" ht="15" hidden="false" customHeight="false" outlineLevel="0" collapsed="false">
      <c r="A24" s="5" t="s">
        <v>2967</v>
      </c>
      <c r="B24" s="5" t="n">
        <v>15</v>
      </c>
      <c r="C24" s="5" t="s">
        <v>3318</v>
      </c>
      <c r="D24" s="5" t="s">
        <v>2960</v>
      </c>
      <c r="E24" s="5" t="s">
        <v>3319</v>
      </c>
      <c r="F24" s="5" t="s">
        <v>3320</v>
      </c>
      <c r="G24" s="5" t="s">
        <v>3255</v>
      </c>
      <c r="H24" s="5"/>
    </row>
  </sheetData>
  <autoFilter ref="A4:H24"/>
  <dataValidations count="1">
    <dataValidation allowBlank="false" errorStyle="stop" operator="between" showDropDown="false" showErrorMessage="false" showInputMessage="false" sqref="G5:G24" type="list">
      <formula1>"Not started,In progress,Blocked,Awaiting approval,Done (code) — verify in browser,Done"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4" min="3" style="0" width="52"/>
    <col collapsed="false" customWidth="true" hidden="false" outlineLevel="0" max="5" min="5" style="0" width="16"/>
  </cols>
  <sheetData>
    <row r="1" customFormat="false" ht="17.35" hidden="false" customHeight="false" outlineLevel="0" collapsed="false">
      <c r="A1" s="9" t="s">
        <v>3321</v>
      </c>
    </row>
    <row r="2" customFormat="false" ht="15" hidden="false" customHeight="false" outlineLevel="0" collapsed="false">
      <c r="A2" s="10" t="s">
        <v>3322</v>
      </c>
    </row>
    <row r="4" customFormat="false" ht="30" hidden="false" customHeight="true" outlineLevel="0" collapsed="false">
      <c r="A4" s="12" t="s">
        <v>3323</v>
      </c>
      <c r="B4" s="12" t="s">
        <v>3324</v>
      </c>
      <c r="C4" s="12" t="s">
        <v>3325</v>
      </c>
      <c r="D4" s="12" t="s">
        <v>3326</v>
      </c>
      <c r="E4" s="12" t="s">
        <v>3327</v>
      </c>
    </row>
    <row r="5" customFormat="false" ht="23.85" hidden="false" customHeight="false" outlineLevel="0" collapsed="false">
      <c r="A5" s="5" t="s">
        <v>3328</v>
      </c>
      <c r="B5" s="5" t="s">
        <v>3329</v>
      </c>
      <c r="C5" s="5" t="s">
        <v>3330</v>
      </c>
      <c r="D5" s="5" t="s">
        <v>3331</v>
      </c>
      <c r="E5" s="5" t="s">
        <v>3125</v>
      </c>
    </row>
    <row r="6" customFormat="false" ht="23.85" hidden="false" customHeight="false" outlineLevel="0" collapsed="false">
      <c r="A6" s="5" t="s">
        <v>3332</v>
      </c>
      <c r="B6" s="5" t="s">
        <v>3333</v>
      </c>
      <c r="C6" s="5" t="s">
        <v>3334</v>
      </c>
      <c r="D6" s="5" t="s">
        <v>3335</v>
      </c>
      <c r="E6" s="5" t="s">
        <v>22</v>
      </c>
    </row>
    <row r="7" customFormat="false" ht="23.85" hidden="false" customHeight="false" outlineLevel="0" collapsed="false">
      <c r="A7" s="5" t="s">
        <v>3336</v>
      </c>
      <c r="B7" s="5" t="s">
        <v>3337</v>
      </c>
      <c r="C7" s="5" t="s">
        <v>3338</v>
      </c>
      <c r="D7" s="5" t="s">
        <v>3339</v>
      </c>
      <c r="E7" s="5" t="s">
        <v>46</v>
      </c>
    </row>
    <row r="8" customFormat="false" ht="23.85" hidden="false" customHeight="false" outlineLevel="0" collapsed="false">
      <c r="A8" s="5" t="s">
        <v>3340</v>
      </c>
      <c r="B8" s="5" t="s">
        <v>3341</v>
      </c>
      <c r="C8" s="5" t="s">
        <v>3342</v>
      </c>
      <c r="D8" s="5" t="s">
        <v>3343</v>
      </c>
      <c r="E8" s="5" t="s">
        <v>449</v>
      </c>
    </row>
    <row r="9" customFormat="false" ht="23.85" hidden="false" customHeight="false" outlineLevel="0" collapsed="false">
      <c r="A9" s="5" t="s">
        <v>3344</v>
      </c>
      <c r="B9" s="5" t="s">
        <v>3345</v>
      </c>
      <c r="C9" s="5" t="s">
        <v>3346</v>
      </c>
      <c r="D9" s="5" t="s">
        <v>3347</v>
      </c>
      <c r="E9" s="5" t="s">
        <v>701</v>
      </c>
    </row>
    <row r="10" customFormat="false" ht="23.85" hidden="false" customHeight="false" outlineLevel="0" collapsed="false">
      <c r="A10" s="5" t="s">
        <v>3348</v>
      </c>
      <c r="B10" s="5" t="s">
        <v>3349</v>
      </c>
      <c r="C10" s="5" t="s">
        <v>3350</v>
      </c>
      <c r="D10" s="5" t="s">
        <v>11</v>
      </c>
      <c r="E10" s="5" t="s">
        <v>52</v>
      </c>
    </row>
    <row r="11" customFormat="false" ht="15" hidden="false" customHeight="false" outlineLevel="0" collapsed="false">
      <c r="A11" s="5" t="s">
        <v>3351</v>
      </c>
      <c r="B11" s="5" t="s">
        <v>3352</v>
      </c>
      <c r="C11" s="5" t="s">
        <v>3353</v>
      </c>
      <c r="D11" s="5" t="s">
        <v>3354</v>
      </c>
      <c r="E11" s="5" t="s">
        <v>3355</v>
      </c>
    </row>
    <row r="12" customFormat="false" ht="23.85" hidden="false" customHeight="false" outlineLevel="0" collapsed="false">
      <c r="A12" s="5" t="s">
        <v>3356</v>
      </c>
      <c r="B12" s="5" t="s">
        <v>3357</v>
      </c>
      <c r="C12" s="5" t="s">
        <v>3358</v>
      </c>
      <c r="D12" s="5" t="s">
        <v>3359</v>
      </c>
      <c r="E12" s="5" t="s">
        <v>11</v>
      </c>
    </row>
    <row r="13" customFormat="false" ht="23.85" hidden="false" customHeight="false" outlineLevel="0" collapsed="false">
      <c r="A13" s="5" t="s">
        <v>3360</v>
      </c>
      <c r="B13" s="5" t="s">
        <v>3361</v>
      </c>
      <c r="C13" s="5" t="s">
        <v>3362</v>
      </c>
      <c r="D13" s="5" t="s">
        <v>3363</v>
      </c>
      <c r="E13" s="5" t="s">
        <v>11</v>
      </c>
    </row>
    <row r="14" customFormat="false" ht="23.85" hidden="false" customHeight="false" outlineLevel="0" collapsed="false">
      <c r="A14" s="5" t="s">
        <v>3364</v>
      </c>
      <c r="B14" s="5" t="s">
        <v>3365</v>
      </c>
      <c r="C14" s="5" t="s">
        <v>3366</v>
      </c>
      <c r="D14" s="5" t="s">
        <v>3367</v>
      </c>
      <c r="E14" s="5" t="s">
        <v>3368</v>
      </c>
    </row>
    <row r="15" customFormat="false" ht="23.85" hidden="false" customHeight="false" outlineLevel="0" collapsed="false">
      <c r="A15" s="5" t="s">
        <v>3369</v>
      </c>
      <c r="B15" s="5" t="s">
        <v>3370</v>
      </c>
      <c r="C15" s="5" t="s">
        <v>3371</v>
      </c>
      <c r="D15" s="5" t="s">
        <v>11</v>
      </c>
      <c r="E15" s="5" t="s">
        <v>2866</v>
      </c>
    </row>
    <row r="16" customFormat="false" ht="23.85" hidden="false" customHeight="false" outlineLevel="0" collapsed="false">
      <c r="A16" s="5" t="s">
        <v>3372</v>
      </c>
      <c r="B16" s="5" t="s">
        <v>3373</v>
      </c>
      <c r="C16" s="5" t="s">
        <v>3374</v>
      </c>
      <c r="D16" s="5" t="s">
        <v>3375</v>
      </c>
      <c r="E16" s="5" t="s">
        <v>3027</v>
      </c>
    </row>
    <row r="17" customFormat="false" ht="23.85" hidden="false" customHeight="false" outlineLevel="0" collapsed="false">
      <c r="A17" s="5" t="s">
        <v>3376</v>
      </c>
      <c r="B17" s="5" t="s">
        <v>3377</v>
      </c>
      <c r="C17" s="5" t="s">
        <v>3378</v>
      </c>
      <c r="D17" s="5" t="s">
        <v>3379</v>
      </c>
      <c r="E17" s="5" t="s">
        <v>354</v>
      </c>
    </row>
    <row r="18" customFormat="false" ht="23.85" hidden="false" customHeight="false" outlineLevel="0" collapsed="false">
      <c r="A18" s="5" t="s">
        <v>3380</v>
      </c>
      <c r="B18" s="5" t="s">
        <v>3381</v>
      </c>
      <c r="C18" s="5" t="s">
        <v>3382</v>
      </c>
      <c r="D18" s="5" t="s">
        <v>3383</v>
      </c>
      <c r="E18" s="5" t="s">
        <v>2974</v>
      </c>
    </row>
    <row r="19" customFormat="false" ht="15" hidden="false" customHeight="false" outlineLevel="0" collapsed="false">
      <c r="A19" s="5" t="s">
        <v>3384</v>
      </c>
      <c r="B19" s="5" t="s">
        <v>3385</v>
      </c>
      <c r="C19" s="5" t="s">
        <v>3386</v>
      </c>
      <c r="D19" s="5" t="s">
        <v>11</v>
      </c>
      <c r="E19" s="5" t="s">
        <v>3020</v>
      </c>
    </row>
    <row r="20" customFormat="false" ht="23.85" hidden="false" customHeight="false" outlineLevel="0" collapsed="false">
      <c r="A20" s="5" t="s">
        <v>3387</v>
      </c>
      <c r="B20" s="5" t="s">
        <v>3388</v>
      </c>
      <c r="C20" s="5" t="s">
        <v>3389</v>
      </c>
      <c r="D20" s="5" t="s">
        <v>3390</v>
      </c>
      <c r="E20" s="5" t="s">
        <v>3391</v>
      </c>
    </row>
  </sheetData>
  <autoFilter ref="A4: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9"/>
    <col collapsed="false" customWidth="true" hidden="false" outlineLevel="0" max="4" min="4" style="0" width="40"/>
    <col collapsed="false" customWidth="true" hidden="false" outlineLevel="0" max="5" min="5" style="0" width="70"/>
    <col collapsed="false" customWidth="true" hidden="false" outlineLevel="0" max="6" min="6" style="0" width="44"/>
  </cols>
  <sheetData>
    <row r="1" customFormat="false" ht="17.35" hidden="false" customHeight="false" outlineLevel="0" collapsed="false">
      <c r="A1" s="9" t="s">
        <v>3392</v>
      </c>
    </row>
    <row r="2" customFormat="false" ht="15" hidden="false" customHeight="false" outlineLevel="0" collapsed="false">
      <c r="A2" s="10" t="s">
        <v>3393</v>
      </c>
    </row>
    <row r="4" customFormat="false" ht="30" hidden="false" customHeight="true" outlineLevel="0" collapsed="false">
      <c r="A4" s="12" t="s">
        <v>3394</v>
      </c>
      <c r="B4" s="12" t="s">
        <v>3395</v>
      </c>
      <c r="C4" s="12" t="s">
        <v>139</v>
      </c>
      <c r="D4" s="12" t="s">
        <v>3396</v>
      </c>
      <c r="E4" s="12" t="s">
        <v>3397</v>
      </c>
      <c r="F4" s="12" t="s">
        <v>3398</v>
      </c>
    </row>
    <row r="5" customFormat="false" ht="23.85" hidden="false" customHeight="false" outlineLevel="0" collapsed="false">
      <c r="A5" s="5" t="s">
        <v>3399</v>
      </c>
      <c r="B5" s="5" t="s">
        <v>3400</v>
      </c>
      <c r="C5" s="5" t="s">
        <v>252</v>
      </c>
      <c r="D5" s="5" t="s">
        <v>365</v>
      </c>
      <c r="E5" s="5" t="s">
        <v>3401</v>
      </c>
      <c r="F5" s="5" t="s">
        <v>3402</v>
      </c>
    </row>
    <row r="6" customFormat="false" ht="23.85" hidden="false" customHeight="false" outlineLevel="0" collapsed="false">
      <c r="A6" s="5" t="s">
        <v>3403</v>
      </c>
      <c r="B6" s="5" t="s">
        <v>3404</v>
      </c>
      <c r="C6" s="5" t="s">
        <v>150</v>
      </c>
      <c r="D6" s="5" t="s">
        <v>373</v>
      </c>
      <c r="E6" s="5" t="s">
        <v>3405</v>
      </c>
      <c r="F6" s="5" t="s">
        <v>3406</v>
      </c>
    </row>
    <row r="7" customFormat="false" ht="23.85" hidden="false" customHeight="false" outlineLevel="0" collapsed="false">
      <c r="A7" s="5" t="s">
        <v>3407</v>
      </c>
      <c r="B7" s="5" t="s">
        <v>3408</v>
      </c>
      <c r="C7" s="5" t="s">
        <v>472</v>
      </c>
      <c r="D7" s="5" t="s">
        <v>46</v>
      </c>
      <c r="E7" s="5" t="s">
        <v>3409</v>
      </c>
      <c r="F7" s="5" t="s">
        <v>3410</v>
      </c>
    </row>
    <row r="8" customFormat="false" ht="23.85" hidden="false" customHeight="false" outlineLevel="0" collapsed="false">
      <c r="A8" s="5" t="s">
        <v>3411</v>
      </c>
      <c r="B8" s="5" t="s">
        <v>3412</v>
      </c>
      <c r="C8" s="5" t="s">
        <v>472</v>
      </c>
      <c r="D8" s="5" t="s">
        <v>3413</v>
      </c>
      <c r="E8" s="5" t="s">
        <v>3414</v>
      </c>
      <c r="F8" s="5" t="s">
        <v>3415</v>
      </c>
    </row>
    <row r="9" customFormat="false" ht="23.85" hidden="false" customHeight="false" outlineLevel="0" collapsed="false">
      <c r="A9" s="5" t="s">
        <v>3416</v>
      </c>
      <c r="B9" s="5" t="s">
        <v>3417</v>
      </c>
      <c r="C9" s="5" t="s">
        <v>145</v>
      </c>
      <c r="D9" s="5" t="s">
        <v>382</v>
      </c>
      <c r="E9" s="5" t="s">
        <v>3418</v>
      </c>
      <c r="F9" s="5" t="s">
        <v>3419</v>
      </c>
    </row>
    <row r="10" customFormat="false" ht="15" hidden="false" customHeight="false" outlineLevel="0" collapsed="false">
      <c r="A10" s="5" t="s">
        <v>3420</v>
      </c>
      <c r="B10" s="5" t="s">
        <v>3421</v>
      </c>
      <c r="C10" s="5" t="s">
        <v>404</v>
      </c>
      <c r="D10" s="5" t="s">
        <v>3422</v>
      </c>
      <c r="E10" s="5" t="s">
        <v>3423</v>
      </c>
      <c r="F10" s="5" t="s">
        <v>3424</v>
      </c>
    </row>
    <row r="11" customFormat="false" ht="15" hidden="false" customHeight="false" outlineLevel="0" collapsed="false">
      <c r="A11" s="5" t="s">
        <v>3425</v>
      </c>
      <c r="B11" s="5" t="s">
        <v>3426</v>
      </c>
      <c r="C11" s="5" t="s">
        <v>145</v>
      </c>
      <c r="D11" s="5" t="s">
        <v>3427</v>
      </c>
      <c r="E11" s="5" t="s">
        <v>3428</v>
      </c>
      <c r="F11" s="5" t="s">
        <v>3429</v>
      </c>
    </row>
    <row r="12" customFormat="false" ht="23.85" hidden="false" customHeight="false" outlineLevel="0" collapsed="false">
      <c r="A12" s="5" t="s">
        <v>3430</v>
      </c>
      <c r="B12" s="5" t="s">
        <v>3431</v>
      </c>
      <c r="C12" s="5" t="s">
        <v>404</v>
      </c>
      <c r="D12" s="5" t="s">
        <v>30</v>
      </c>
      <c r="E12" s="5" t="s">
        <v>3432</v>
      </c>
      <c r="F12" s="5" t="s">
        <v>3433</v>
      </c>
    </row>
    <row r="13" customFormat="false" ht="23.85" hidden="false" customHeight="false" outlineLevel="0" collapsed="false">
      <c r="A13" s="5" t="s">
        <v>3434</v>
      </c>
      <c r="B13" s="5" t="s">
        <v>3435</v>
      </c>
      <c r="C13" s="5" t="s">
        <v>265</v>
      </c>
      <c r="D13" s="5" t="s">
        <v>3436</v>
      </c>
      <c r="E13" s="5" t="s">
        <v>3437</v>
      </c>
      <c r="F13" s="5" t="s">
        <v>3438</v>
      </c>
    </row>
    <row r="14" customFormat="false" ht="23.85" hidden="false" customHeight="false" outlineLevel="0" collapsed="false">
      <c r="A14" s="5" t="s">
        <v>3439</v>
      </c>
      <c r="B14" s="5" t="s">
        <v>3440</v>
      </c>
      <c r="C14" s="5" t="s">
        <v>472</v>
      </c>
      <c r="D14" s="5" t="s">
        <v>46</v>
      </c>
      <c r="E14" s="5" t="s">
        <v>3441</v>
      </c>
      <c r="F14" s="5" t="s">
        <v>3442</v>
      </c>
    </row>
    <row r="15" customFormat="false" ht="23.85" hidden="false" customHeight="false" outlineLevel="0" collapsed="false">
      <c r="A15" s="5" t="s">
        <v>3443</v>
      </c>
      <c r="B15" s="5" t="s">
        <v>3444</v>
      </c>
      <c r="C15" s="5" t="s">
        <v>397</v>
      </c>
      <c r="D15" s="5" t="s">
        <v>3445</v>
      </c>
      <c r="E15" s="5" t="s">
        <v>3446</v>
      </c>
      <c r="F15" s="5" t="s">
        <v>3447</v>
      </c>
    </row>
    <row r="16" customFormat="false" ht="35.05" hidden="false" customHeight="false" outlineLevel="0" collapsed="false">
      <c r="A16" s="5" t="s">
        <v>3448</v>
      </c>
      <c r="B16" s="5" t="s">
        <v>3449</v>
      </c>
      <c r="C16" s="5" t="s">
        <v>303</v>
      </c>
      <c r="D16" s="5" t="s">
        <v>3450</v>
      </c>
      <c r="E16" s="5" t="s">
        <v>3451</v>
      </c>
      <c r="F16" s="5" t="s">
        <v>3452</v>
      </c>
    </row>
    <row r="17" customFormat="false" ht="23.85" hidden="false" customHeight="false" outlineLevel="0" collapsed="false">
      <c r="A17" s="5" t="s">
        <v>3453</v>
      </c>
      <c r="B17" s="5" t="s">
        <v>3454</v>
      </c>
      <c r="C17" s="5" t="s">
        <v>404</v>
      </c>
      <c r="D17" s="5" t="s">
        <v>39</v>
      </c>
      <c r="E17" s="5" t="s">
        <v>3455</v>
      </c>
      <c r="F17" s="5" t="s">
        <v>3456</v>
      </c>
    </row>
    <row r="18" customFormat="false" ht="23.85" hidden="false" customHeight="false" outlineLevel="0" collapsed="false">
      <c r="A18" s="5" t="s">
        <v>3457</v>
      </c>
      <c r="B18" s="5" t="s">
        <v>3458</v>
      </c>
      <c r="C18" s="5" t="s">
        <v>397</v>
      </c>
      <c r="D18" s="5" t="s">
        <v>3459</v>
      </c>
      <c r="E18" s="5" t="s">
        <v>3460</v>
      </c>
      <c r="F18" s="5" t="s">
        <v>3461</v>
      </c>
    </row>
  </sheetData>
  <autoFilter ref="A4:F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4" min="3" style="0" width="14"/>
    <col collapsed="false" customWidth="true" hidden="false" outlineLevel="0" max="5" min="5" style="0" width="44"/>
    <col collapsed="false" customWidth="true" hidden="false" outlineLevel="0" max="6" min="6" style="0" width="50"/>
    <col collapsed="false" customWidth="true" hidden="false" outlineLevel="0" max="7" min="7" style="0" width="32"/>
    <col collapsed="false" customWidth="true" hidden="false" outlineLevel="0" max="8" min="8" style="0" width="9"/>
    <col collapsed="false" customWidth="true" hidden="false" outlineLevel="0" max="9" min="9" style="0" width="40"/>
  </cols>
  <sheetData>
    <row r="1" customFormat="false" ht="17.35" hidden="false" customHeight="false" outlineLevel="0" collapsed="false">
      <c r="A1" s="9" t="s">
        <v>3462</v>
      </c>
    </row>
    <row r="2" customFormat="false" ht="15" hidden="false" customHeight="false" outlineLevel="0" collapsed="false">
      <c r="A2" s="10" t="s">
        <v>3463</v>
      </c>
    </row>
    <row r="4" customFormat="false" ht="30" hidden="false" customHeight="true" outlineLevel="0" collapsed="false">
      <c r="A4" s="12" t="s">
        <v>3464</v>
      </c>
      <c r="B4" s="12" t="s">
        <v>3465</v>
      </c>
      <c r="C4" s="12" t="s">
        <v>3466</v>
      </c>
      <c r="D4" s="12" t="s">
        <v>3467</v>
      </c>
      <c r="E4" s="12" t="s">
        <v>3468</v>
      </c>
      <c r="F4" s="12" t="s">
        <v>3469</v>
      </c>
      <c r="G4" s="12" t="s">
        <v>141</v>
      </c>
      <c r="H4" s="12" t="s">
        <v>3470</v>
      </c>
      <c r="I4" s="12" t="s">
        <v>3471</v>
      </c>
    </row>
    <row r="5" customFormat="false" ht="23.85" hidden="false" customHeight="false" outlineLevel="0" collapsed="false">
      <c r="A5" s="5" t="s">
        <v>3472</v>
      </c>
      <c r="B5" s="5" t="s">
        <v>3473</v>
      </c>
      <c r="C5" s="5" t="s">
        <v>3474</v>
      </c>
      <c r="D5" s="5" t="s">
        <v>3475</v>
      </c>
      <c r="E5" s="5" t="s">
        <v>3476</v>
      </c>
      <c r="F5" s="5" t="s">
        <v>3477</v>
      </c>
      <c r="G5" s="5" t="s">
        <v>3478</v>
      </c>
      <c r="H5" s="5" t="s">
        <v>182</v>
      </c>
      <c r="I5" s="5" t="s">
        <v>3479</v>
      </c>
    </row>
    <row r="6" customFormat="false" ht="23.85" hidden="false" customHeight="false" outlineLevel="0" collapsed="false">
      <c r="A6" s="5" t="s">
        <v>3480</v>
      </c>
      <c r="B6" s="5" t="s">
        <v>3481</v>
      </c>
      <c r="C6" s="5" t="s">
        <v>3474</v>
      </c>
      <c r="D6" s="5" t="s">
        <v>3482</v>
      </c>
      <c r="E6" s="5" t="s">
        <v>3483</v>
      </c>
      <c r="F6" s="5" t="s">
        <v>3484</v>
      </c>
      <c r="G6" s="5" t="s">
        <v>3485</v>
      </c>
      <c r="H6" s="5" t="s">
        <v>182</v>
      </c>
      <c r="I6" s="5" t="s">
        <v>3486</v>
      </c>
    </row>
    <row r="7" customFormat="false" ht="23.85" hidden="false" customHeight="false" outlineLevel="0" collapsed="false">
      <c r="A7" s="5" t="s">
        <v>3487</v>
      </c>
      <c r="B7" s="5" t="s">
        <v>3481</v>
      </c>
      <c r="C7" s="5" t="s">
        <v>3474</v>
      </c>
      <c r="D7" s="5" t="s">
        <v>3488</v>
      </c>
      <c r="E7" s="5" t="s">
        <v>3489</v>
      </c>
      <c r="F7" s="5" t="s">
        <v>3490</v>
      </c>
      <c r="G7" s="5" t="s">
        <v>3485</v>
      </c>
      <c r="H7" s="5" t="s">
        <v>182</v>
      </c>
      <c r="I7" s="5" t="s">
        <v>3491</v>
      </c>
    </row>
    <row r="8" customFormat="false" ht="23.85" hidden="false" customHeight="false" outlineLevel="0" collapsed="false">
      <c r="A8" s="5" t="s">
        <v>3492</v>
      </c>
      <c r="B8" s="5" t="s">
        <v>3493</v>
      </c>
      <c r="C8" s="5" t="s">
        <v>3474</v>
      </c>
      <c r="D8" s="5" t="s">
        <v>457</v>
      </c>
      <c r="E8" s="5" t="s">
        <v>3494</v>
      </c>
      <c r="F8" s="5" t="s">
        <v>3495</v>
      </c>
      <c r="G8" s="5" t="s">
        <v>3496</v>
      </c>
      <c r="H8" s="5" t="s">
        <v>182</v>
      </c>
      <c r="I8" s="5" t="s">
        <v>3497</v>
      </c>
    </row>
    <row r="9" customFormat="false" ht="23.85" hidden="false" customHeight="false" outlineLevel="0" collapsed="false">
      <c r="A9" s="5" t="s">
        <v>3498</v>
      </c>
      <c r="B9" s="5" t="s">
        <v>3499</v>
      </c>
      <c r="C9" s="5" t="s">
        <v>3474</v>
      </c>
      <c r="D9" s="5" t="s">
        <v>3500</v>
      </c>
      <c r="E9" s="5" t="s">
        <v>3501</v>
      </c>
      <c r="F9" s="5" t="s">
        <v>3502</v>
      </c>
      <c r="G9" s="5" t="s">
        <v>3503</v>
      </c>
      <c r="H9" s="5" t="s">
        <v>182</v>
      </c>
      <c r="I9" s="5" t="s">
        <v>3504</v>
      </c>
    </row>
    <row r="10" customFormat="false" ht="15" hidden="false" customHeight="false" outlineLevel="0" collapsed="false">
      <c r="A10" s="5" t="s">
        <v>3505</v>
      </c>
      <c r="B10" s="5" t="s">
        <v>3506</v>
      </c>
      <c r="C10" s="5" t="s">
        <v>3474</v>
      </c>
      <c r="D10" s="5" t="s">
        <v>457</v>
      </c>
      <c r="E10" s="5" t="s">
        <v>3507</v>
      </c>
      <c r="F10" s="5" t="s">
        <v>3508</v>
      </c>
      <c r="G10" s="5" t="s">
        <v>3509</v>
      </c>
      <c r="H10" s="5" t="s">
        <v>182</v>
      </c>
      <c r="I10" s="5" t="s">
        <v>3510</v>
      </c>
    </row>
    <row r="11" customFormat="false" ht="23.85" hidden="false" customHeight="false" outlineLevel="0" collapsed="false">
      <c r="A11" s="5" t="s">
        <v>3511</v>
      </c>
      <c r="B11" s="5" t="s">
        <v>3493</v>
      </c>
      <c r="C11" s="5" t="s">
        <v>3474</v>
      </c>
      <c r="D11" s="5" t="s">
        <v>3512</v>
      </c>
      <c r="E11" s="5" t="s">
        <v>3513</v>
      </c>
      <c r="F11" s="5" t="s">
        <v>3514</v>
      </c>
      <c r="G11" s="5" t="s">
        <v>3515</v>
      </c>
      <c r="H11" s="5" t="s">
        <v>182</v>
      </c>
      <c r="I11" s="5" t="s">
        <v>3516</v>
      </c>
    </row>
    <row r="12" customFormat="false" ht="15" hidden="false" customHeight="false" outlineLevel="0" collapsed="false">
      <c r="A12" s="5" t="s">
        <v>3517</v>
      </c>
      <c r="B12" s="5" t="s">
        <v>3493</v>
      </c>
      <c r="C12" s="5" t="s">
        <v>3474</v>
      </c>
      <c r="D12" s="5" t="s">
        <v>3518</v>
      </c>
      <c r="E12" s="5" t="s">
        <v>3519</v>
      </c>
      <c r="F12" s="5" t="s">
        <v>3520</v>
      </c>
      <c r="G12" s="5" t="s">
        <v>3521</v>
      </c>
      <c r="H12" s="5" t="s">
        <v>182</v>
      </c>
      <c r="I12" s="5"/>
    </row>
    <row r="13" customFormat="false" ht="15" hidden="false" customHeight="false" outlineLevel="0" collapsed="false">
      <c r="A13" s="5" t="s">
        <v>3522</v>
      </c>
      <c r="B13" s="5" t="s">
        <v>3506</v>
      </c>
      <c r="C13" s="5" t="s">
        <v>3474</v>
      </c>
      <c r="D13" s="5" t="s">
        <v>3523</v>
      </c>
      <c r="E13" s="5" t="s">
        <v>3524</v>
      </c>
      <c r="F13" s="5" t="s">
        <v>3520</v>
      </c>
      <c r="G13" s="5" t="s">
        <v>3525</v>
      </c>
      <c r="H13" s="5" t="s">
        <v>182</v>
      </c>
      <c r="I13" s="5"/>
    </row>
    <row r="14" customFormat="false" ht="23.85" hidden="false" customHeight="false" outlineLevel="0" collapsed="false">
      <c r="A14" s="5" t="s">
        <v>3526</v>
      </c>
      <c r="B14" s="5" t="s">
        <v>3527</v>
      </c>
      <c r="C14" s="5" t="s">
        <v>3474</v>
      </c>
      <c r="D14" s="5" t="s">
        <v>3528</v>
      </c>
      <c r="E14" s="5" t="s">
        <v>3529</v>
      </c>
      <c r="F14" s="5" t="s">
        <v>3530</v>
      </c>
      <c r="G14" s="5" t="s">
        <v>3531</v>
      </c>
      <c r="H14" s="5" t="s">
        <v>182</v>
      </c>
      <c r="I14" s="5" t="s">
        <v>3532</v>
      </c>
    </row>
    <row r="15" customFormat="false" ht="15" hidden="false" customHeight="false" outlineLevel="0" collapsed="false">
      <c r="A15" s="5" t="s">
        <v>3533</v>
      </c>
      <c r="B15" s="5" t="s">
        <v>3534</v>
      </c>
      <c r="C15" s="5" t="s">
        <v>3535</v>
      </c>
      <c r="D15" s="5" t="s">
        <v>3536</v>
      </c>
      <c r="E15" s="5" t="s">
        <v>3537</v>
      </c>
      <c r="F15" s="5" t="s">
        <v>3538</v>
      </c>
      <c r="G15" s="5" t="s">
        <v>3539</v>
      </c>
      <c r="H15" s="5" t="s">
        <v>182</v>
      </c>
      <c r="I15" s="5" t="s">
        <v>3540</v>
      </c>
    </row>
    <row r="16" customFormat="false" ht="23.85" hidden="false" customHeight="false" outlineLevel="0" collapsed="false">
      <c r="A16" s="5" t="s">
        <v>3541</v>
      </c>
      <c r="B16" s="5" t="s">
        <v>3542</v>
      </c>
      <c r="C16" s="5" t="s">
        <v>3474</v>
      </c>
      <c r="D16" s="5" t="s">
        <v>3543</v>
      </c>
      <c r="E16" s="5" t="s">
        <v>3544</v>
      </c>
      <c r="F16" s="5" t="s">
        <v>3545</v>
      </c>
      <c r="G16" s="5" t="s">
        <v>3546</v>
      </c>
      <c r="H16" s="5" t="s">
        <v>182</v>
      </c>
      <c r="I16" s="5" t="s">
        <v>3547</v>
      </c>
    </row>
    <row r="17" customFormat="false" ht="15" hidden="false" customHeight="false" outlineLevel="0" collapsed="false">
      <c r="A17" s="5" t="s">
        <v>3548</v>
      </c>
      <c r="B17" s="5" t="s">
        <v>3542</v>
      </c>
      <c r="C17" s="5" t="s">
        <v>3474</v>
      </c>
      <c r="D17" s="5" t="s">
        <v>3543</v>
      </c>
      <c r="E17" s="5" t="s">
        <v>3549</v>
      </c>
      <c r="F17" s="5" t="s">
        <v>3550</v>
      </c>
      <c r="G17" s="5" t="s">
        <v>3551</v>
      </c>
      <c r="H17" s="5" t="s">
        <v>182</v>
      </c>
      <c r="I17" s="5"/>
    </row>
    <row r="18" customFormat="false" ht="15" hidden="false" customHeight="false" outlineLevel="0" collapsed="false">
      <c r="A18" s="5" t="s">
        <v>3552</v>
      </c>
      <c r="B18" s="5" t="s">
        <v>3542</v>
      </c>
      <c r="C18" s="5" t="s">
        <v>3474</v>
      </c>
      <c r="D18" s="5" t="s">
        <v>3543</v>
      </c>
      <c r="E18" s="5" t="s">
        <v>3553</v>
      </c>
      <c r="F18" s="5" t="s">
        <v>3554</v>
      </c>
      <c r="G18" s="5" t="s">
        <v>3551</v>
      </c>
      <c r="H18" s="5" t="s">
        <v>3074</v>
      </c>
      <c r="I18" s="5" t="s">
        <v>3555</v>
      </c>
    </row>
    <row r="19" customFormat="false" ht="23.85" hidden="false" customHeight="false" outlineLevel="0" collapsed="false">
      <c r="A19" s="5" t="s">
        <v>3556</v>
      </c>
      <c r="B19" s="5" t="s">
        <v>92</v>
      </c>
      <c r="C19" s="5" t="s">
        <v>3557</v>
      </c>
      <c r="D19" s="5" t="s">
        <v>3558</v>
      </c>
      <c r="E19" s="5" t="s">
        <v>3559</v>
      </c>
      <c r="F19" s="5" t="s">
        <v>3560</v>
      </c>
      <c r="G19" s="5" t="s">
        <v>3561</v>
      </c>
      <c r="H19" s="5" t="s">
        <v>182</v>
      </c>
      <c r="I19" s="5" t="s">
        <v>3562</v>
      </c>
    </row>
    <row r="20" customFormat="false" ht="15" hidden="false" customHeight="false" outlineLevel="0" collapsed="false">
      <c r="A20" s="5" t="s">
        <v>3563</v>
      </c>
      <c r="B20" s="5" t="s">
        <v>92</v>
      </c>
      <c r="C20" s="5" t="s">
        <v>3557</v>
      </c>
      <c r="D20" s="5" t="s">
        <v>3558</v>
      </c>
      <c r="E20" s="5" t="s">
        <v>3564</v>
      </c>
      <c r="F20" s="5" t="s">
        <v>3565</v>
      </c>
      <c r="G20" s="5" t="s">
        <v>3566</v>
      </c>
      <c r="H20" s="5" t="s">
        <v>182</v>
      </c>
      <c r="I20" s="5"/>
    </row>
    <row r="21" customFormat="false" ht="23.85" hidden="false" customHeight="false" outlineLevel="0" collapsed="false">
      <c r="A21" s="5" t="s">
        <v>3567</v>
      </c>
      <c r="B21" s="5" t="s">
        <v>92</v>
      </c>
      <c r="C21" s="5" t="s">
        <v>3557</v>
      </c>
      <c r="D21" s="5" t="s">
        <v>3568</v>
      </c>
      <c r="E21" s="5" t="s">
        <v>3569</v>
      </c>
      <c r="F21" s="5" t="s">
        <v>3570</v>
      </c>
      <c r="G21" s="5" t="s">
        <v>3571</v>
      </c>
      <c r="H21" s="5" t="s">
        <v>182</v>
      </c>
      <c r="I21" s="5"/>
    </row>
    <row r="22" customFormat="false" ht="15" hidden="false" customHeight="false" outlineLevel="0" collapsed="false">
      <c r="A22" s="5" t="s">
        <v>3572</v>
      </c>
      <c r="B22" s="5" t="s">
        <v>92</v>
      </c>
      <c r="C22" s="5" t="s">
        <v>3557</v>
      </c>
      <c r="D22" s="5" t="s">
        <v>3558</v>
      </c>
      <c r="E22" s="5" t="s">
        <v>3573</v>
      </c>
      <c r="F22" s="5" t="s">
        <v>3574</v>
      </c>
      <c r="G22" s="5" t="s">
        <v>3575</v>
      </c>
      <c r="H22" s="5" t="s">
        <v>182</v>
      </c>
      <c r="I22" s="5"/>
    </row>
    <row r="23" customFormat="false" ht="23.85" hidden="false" customHeight="false" outlineLevel="0" collapsed="false">
      <c r="A23" s="5" t="s">
        <v>3576</v>
      </c>
      <c r="B23" s="5" t="s">
        <v>92</v>
      </c>
      <c r="C23" s="5" t="s">
        <v>3557</v>
      </c>
      <c r="D23" s="5" t="s">
        <v>3577</v>
      </c>
      <c r="E23" s="5" t="s">
        <v>3578</v>
      </c>
      <c r="F23" s="5" t="s">
        <v>3579</v>
      </c>
      <c r="G23" s="5" t="s">
        <v>3580</v>
      </c>
      <c r="H23" s="5" t="s">
        <v>182</v>
      </c>
      <c r="I23" s="5" t="s">
        <v>3581</v>
      </c>
    </row>
    <row r="24" customFormat="false" ht="15" hidden="false" customHeight="false" outlineLevel="0" collapsed="false">
      <c r="A24" s="5" t="s">
        <v>3582</v>
      </c>
      <c r="B24" s="5" t="s">
        <v>92</v>
      </c>
      <c r="C24" s="5" t="s">
        <v>3557</v>
      </c>
      <c r="D24" s="5" t="s">
        <v>3583</v>
      </c>
      <c r="E24" s="5" t="s">
        <v>3584</v>
      </c>
      <c r="F24" s="5" t="s">
        <v>3585</v>
      </c>
      <c r="G24" s="5" t="s">
        <v>3586</v>
      </c>
      <c r="H24" s="5" t="s">
        <v>182</v>
      </c>
      <c r="I24" s="5"/>
    </row>
    <row r="25" customFormat="false" ht="23.85" hidden="false" customHeight="false" outlineLevel="0" collapsed="false">
      <c r="A25" s="5" t="s">
        <v>3587</v>
      </c>
      <c r="B25" s="5" t="s">
        <v>92</v>
      </c>
      <c r="C25" s="5" t="s">
        <v>3557</v>
      </c>
      <c r="D25" s="5" t="s">
        <v>3588</v>
      </c>
      <c r="E25" s="5" t="s">
        <v>3589</v>
      </c>
      <c r="F25" s="5" t="s">
        <v>3590</v>
      </c>
      <c r="G25" s="5" t="s">
        <v>3591</v>
      </c>
      <c r="H25" s="5" t="s">
        <v>3074</v>
      </c>
      <c r="I25" s="5" t="s">
        <v>3592</v>
      </c>
    </row>
    <row r="26" customFormat="false" ht="23.85" hidden="false" customHeight="false" outlineLevel="0" collapsed="false">
      <c r="A26" s="5" t="s">
        <v>3593</v>
      </c>
      <c r="B26" s="5" t="s">
        <v>92</v>
      </c>
      <c r="C26" s="5" t="s">
        <v>3557</v>
      </c>
      <c r="D26" s="5" t="s">
        <v>3500</v>
      </c>
      <c r="E26" s="5" t="s">
        <v>3594</v>
      </c>
      <c r="F26" s="5" t="s">
        <v>3595</v>
      </c>
      <c r="G26" s="5" t="s">
        <v>3596</v>
      </c>
      <c r="H26" s="5" t="s">
        <v>3074</v>
      </c>
      <c r="I26" s="5" t="s">
        <v>3597</v>
      </c>
    </row>
    <row r="27" customFormat="false" ht="23.85" hidden="false" customHeight="false" outlineLevel="0" collapsed="false">
      <c r="A27" s="5" t="s">
        <v>3598</v>
      </c>
      <c r="B27" s="5" t="s">
        <v>92</v>
      </c>
      <c r="C27" s="5" t="s">
        <v>3557</v>
      </c>
      <c r="D27" s="5" t="s">
        <v>457</v>
      </c>
      <c r="E27" s="5" t="s">
        <v>3599</v>
      </c>
      <c r="F27" s="5" t="s">
        <v>3600</v>
      </c>
      <c r="G27" s="5" t="s">
        <v>3601</v>
      </c>
      <c r="H27" s="5" t="s">
        <v>3074</v>
      </c>
      <c r="I27" s="5" t="s">
        <v>3602</v>
      </c>
    </row>
    <row r="28" customFormat="false" ht="15" hidden="false" customHeight="false" outlineLevel="0" collapsed="false">
      <c r="A28" s="5" t="s">
        <v>3603</v>
      </c>
      <c r="B28" s="5" t="s">
        <v>92</v>
      </c>
      <c r="C28" s="5" t="s">
        <v>3604</v>
      </c>
      <c r="D28" s="5" t="s">
        <v>3500</v>
      </c>
      <c r="E28" s="5" t="s">
        <v>3605</v>
      </c>
      <c r="F28" s="5" t="s">
        <v>3606</v>
      </c>
      <c r="G28" s="5" t="s">
        <v>3607</v>
      </c>
      <c r="H28" s="5" t="s">
        <v>3074</v>
      </c>
      <c r="I28" s="5"/>
    </row>
  </sheetData>
  <autoFilter ref="A4:I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90"/>
    <col collapsed="false" customWidth="true" hidden="false" outlineLevel="0" max="4" min="4" style="0" width="11"/>
    <col collapsed="false" customWidth="true" hidden="false" outlineLevel="0" max="5" min="5" style="0" width="30"/>
  </cols>
  <sheetData>
    <row r="1" customFormat="false" ht="17.35" hidden="false" customHeight="false" outlineLevel="0" collapsed="false">
      <c r="A1" s="9" t="s">
        <v>3608</v>
      </c>
    </row>
    <row r="2" customFormat="false" ht="15" hidden="false" customHeight="false" outlineLevel="0" collapsed="false">
      <c r="A2" s="10" t="s">
        <v>3609</v>
      </c>
    </row>
    <row r="4" customFormat="false" ht="30" hidden="false" customHeight="true" outlineLevel="0" collapsed="false">
      <c r="A4" s="12" t="s">
        <v>3610</v>
      </c>
      <c r="B4" s="12" t="s">
        <v>3465</v>
      </c>
      <c r="C4" s="12" t="s">
        <v>3611</v>
      </c>
      <c r="D4" s="12" t="s">
        <v>3612</v>
      </c>
      <c r="E4" s="12" t="s">
        <v>3613</v>
      </c>
    </row>
    <row r="5" customFormat="false" ht="15" hidden="false" customHeight="false" outlineLevel="0" collapsed="false">
      <c r="A5" s="5" t="s">
        <v>3614</v>
      </c>
      <c r="B5" s="5" t="s">
        <v>92</v>
      </c>
      <c r="C5" s="5" t="s">
        <v>3615</v>
      </c>
      <c r="D5" s="5" t="s">
        <v>3616</v>
      </c>
      <c r="E5" s="5"/>
    </row>
    <row r="6" customFormat="false" ht="15" hidden="false" customHeight="false" outlineLevel="0" collapsed="false">
      <c r="A6" s="5" t="s">
        <v>3617</v>
      </c>
      <c r="B6" s="5" t="s">
        <v>92</v>
      </c>
      <c r="C6" s="5" t="s">
        <v>3618</v>
      </c>
      <c r="D6" s="5" t="s">
        <v>3616</v>
      </c>
      <c r="E6" s="5" t="s">
        <v>42</v>
      </c>
    </row>
    <row r="7" customFormat="false" ht="15" hidden="false" customHeight="false" outlineLevel="0" collapsed="false">
      <c r="A7" s="5" t="s">
        <v>3619</v>
      </c>
      <c r="B7" s="5" t="s">
        <v>92</v>
      </c>
      <c r="C7" s="5" t="s">
        <v>3620</v>
      </c>
      <c r="D7" s="5" t="s">
        <v>3616</v>
      </c>
      <c r="E7" s="5" t="s">
        <v>46</v>
      </c>
    </row>
    <row r="8" customFormat="false" ht="23.85" hidden="false" customHeight="false" outlineLevel="0" collapsed="false">
      <c r="A8" s="5" t="s">
        <v>3621</v>
      </c>
      <c r="B8" s="5" t="s">
        <v>92</v>
      </c>
      <c r="C8" s="5" t="s">
        <v>3622</v>
      </c>
      <c r="D8" s="5" t="s">
        <v>3268</v>
      </c>
      <c r="E8" s="5" t="s">
        <v>3623</v>
      </c>
    </row>
    <row r="9" customFormat="false" ht="15" hidden="false" customHeight="false" outlineLevel="0" collapsed="false">
      <c r="A9" s="5" t="s">
        <v>3624</v>
      </c>
      <c r="B9" s="5" t="s">
        <v>92</v>
      </c>
      <c r="C9" s="5" t="s">
        <v>3625</v>
      </c>
      <c r="D9" s="5" t="s">
        <v>3616</v>
      </c>
      <c r="E9" s="5" t="s">
        <v>3368</v>
      </c>
    </row>
    <row r="10" customFormat="false" ht="15" hidden="false" customHeight="false" outlineLevel="0" collapsed="false">
      <c r="A10" s="5" t="s">
        <v>3626</v>
      </c>
      <c r="B10" s="5" t="s">
        <v>92</v>
      </c>
      <c r="C10" s="5" t="s">
        <v>3627</v>
      </c>
      <c r="D10" s="5" t="s">
        <v>3616</v>
      </c>
      <c r="E10" s="5" t="s">
        <v>3355</v>
      </c>
    </row>
    <row r="11" customFormat="false" ht="15" hidden="false" customHeight="false" outlineLevel="0" collapsed="false">
      <c r="A11" s="5" t="s">
        <v>3628</v>
      </c>
      <c r="B11" s="5" t="s">
        <v>92</v>
      </c>
      <c r="C11" s="5" t="s">
        <v>3629</v>
      </c>
      <c r="D11" s="5" t="s">
        <v>3616</v>
      </c>
      <c r="E11" s="5" t="s">
        <v>49</v>
      </c>
    </row>
    <row r="12" customFormat="false" ht="15" hidden="false" customHeight="false" outlineLevel="0" collapsed="false">
      <c r="A12" s="5" t="s">
        <v>3630</v>
      </c>
      <c r="B12" s="5" t="s">
        <v>92</v>
      </c>
      <c r="C12" s="5" t="s">
        <v>3631</v>
      </c>
      <c r="D12" s="5" t="s">
        <v>3616</v>
      </c>
      <c r="E12" s="5" t="s">
        <v>39</v>
      </c>
    </row>
    <row r="13" customFormat="false" ht="23.85" hidden="false" customHeight="false" outlineLevel="0" collapsed="false">
      <c r="A13" s="5" t="s">
        <v>3632</v>
      </c>
      <c r="B13" s="5" t="s">
        <v>92</v>
      </c>
      <c r="C13" s="5" t="s">
        <v>3633</v>
      </c>
      <c r="D13" s="5" t="s">
        <v>3634</v>
      </c>
      <c r="E13" s="5" t="s">
        <v>52</v>
      </c>
    </row>
    <row r="14" customFormat="false" ht="23.85" hidden="false" customHeight="false" outlineLevel="0" collapsed="false">
      <c r="A14" s="5" t="s">
        <v>3635</v>
      </c>
      <c r="B14" s="5" t="s">
        <v>92</v>
      </c>
      <c r="C14" s="5" t="s">
        <v>3636</v>
      </c>
      <c r="D14" s="5" t="s">
        <v>3637</v>
      </c>
      <c r="E14" s="5"/>
    </row>
  </sheetData>
  <autoFilter ref="A4:E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7.35" hidden="false" customHeight="false" outlineLevel="0" collapsed="false">
      <c r="A1" s="9" t="s">
        <v>3638</v>
      </c>
    </row>
    <row r="2" customFormat="false" ht="15" hidden="false" customHeight="false" outlineLevel="0" collapsed="false">
      <c r="A2" s="10"/>
    </row>
    <row r="4" customFormat="false" ht="30" hidden="false" customHeight="true" outlineLevel="0" collapsed="false">
      <c r="A4" s="12" t="s">
        <v>3639</v>
      </c>
      <c r="B4" s="12" t="s">
        <v>3640</v>
      </c>
    </row>
    <row r="5" customFormat="false" ht="15" hidden="false" customHeight="false" outlineLevel="0" collapsed="false">
      <c r="A5" s="5" t="s">
        <v>3641</v>
      </c>
      <c r="B5" s="5" t="s">
        <v>3642</v>
      </c>
    </row>
    <row r="6" customFormat="false" ht="15" hidden="false" customHeight="false" outlineLevel="0" collapsed="false">
      <c r="A6" s="5" t="s">
        <v>3643</v>
      </c>
      <c r="B6" s="5" t="s">
        <v>3644</v>
      </c>
    </row>
    <row r="7" customFormat="false" ht="15" hidden="false" customHeight="false" outlineLevel="0" collapsed="false">
      <c r="A7" s="5" t="s">
        <v>3645</v>
      </c>
      <c r="B7" s="5" t="s">
        <v>3646</v>
      </c>
    </row>
    <row r="8" customFormat="false" ht="23.85" hidden="false" customHeight="false" outlineLevel="0" collapsed="false">
      <c r="A8" s="5" t="s">
        <v>3500</v>
      </c>
      <c r="B8" s="5" t="s">
        <v>3647</v>
      </c>
    </row>
    <row r="9" customFormat="false" ht="15" hidden="false" customHeight="false" outlineLevel="0" collapsed="false">
      <c r="A9" s="5" t="s">
        <v>3648</v>
      </c>
      <c r="B9" s="5" t="s">
        <v>3649</v>
      </c>
    </row>
    <row r="10" customFormat="false" ht="15" hidden="false" customHeight="false" outlineLevel="0" collapsed="false">
      <c r="A10" s="5" t="s">
        <v>3650</v>
      </c>
      <c r="B10" s="5" t="s">
        <v>3651</v>
      </c>
    </row>
    <row r="11" customFormat="false" ht="15" hidden="false" customHeight="false" outlineLevel="0" collapsed="false">
      <c r="A11" s="5" t="s">
        <v>3652</v>
      </c>
      <c r="B11" s="5" t="s">
        <v>3653</v>
      </c>
    </row>
    <row r="12" customFormat="false" ht="15" hidden="false" customHeight="false" outlineLevel="0" collapsed="false">
      <c r="A12" s="5" t="s">
        <v>3654</v>
      </c>
      <c r="B12" s="5" t="s">
        <v>3655</v>
      </c>
    </row>
    <row r="13" customFormat="false" ht="15" hidden="false" customHeight="false" outlineLevel="0" collapsed="false">
      <c r="A13" s="5" t="s">
        <v>3656</v>
      </c>
      <c r="B13" s="5" t="s">
        <v>3657</v>
      </c>
    </row>
    <row r="14" customFormat="false" ht="23.85" hidden="false" customHeight="false" outlineLevel="0" collapsed="false">
      <c r="A14" s="5" t="s">
        <v>3658</v>
      </c>
      <c r="B14" s="5" t="s">
        <v>3659</v>
      </c>
    </row>
    <row r="15" customFormat="false" ht="15" hidden="false" customHeight="false" outlineLevel="0" collapsed="false">
      <c r="A15" s="5" t="s">
        <v>3660</v>
      </c>
      <c r="B15" s="5" t="s">
        <v>3661</v>
      </c>
    </row>
    <row r="16" customFormat="false" ht="15" hidden="false" customHeight="false" outlineLevel="0" collapsed="false">
      <c r="A16" s="5" t="s">
        <v>1137</v>
      </c>
      <c r="B16" s="5" t="s">
        <v>3662</v>
      </c>
    </row>
    <row r="17" customFormat="false" ht="15" hidden="false" customHeight="false" outlineLevel="0" collapsed="false">
      <c r="A17" s="5" t="s">
        <v>3663</v>
      </c>
      <c r="B17" s="5" t="s">
        <v>3664</v>
      </c>
    </row>
  </sheetData>
  <autoFilter ref="A4:B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2026-10-22T04:18:48Z</dcterms:created>
  <dc:creator>openpyxl</dc:creator>
  <dc:description/>
  <dc:language>en-US</dc:language>
  <cp:lastModifiedBy/>
  <dcterms:modified xsi:type="dcterms:W3CDTF">2026-10-22T04:18:48Z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